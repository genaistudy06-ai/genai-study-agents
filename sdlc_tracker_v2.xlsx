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6.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FIRST" sheetId="1" state="visible" r:id="rId3"/>
    <sheet name="Team Registry" sheetId="2" state="visible" r:id="rId4"/>
    <sheet name="Collection Guide" sheetId="3" state="visible" r:id="rId5"/>
    <sheet name="Data Input" sheetId="4" state="visible" r:id="rId6"/>
    <sheet name="WoW Analysis" sheetId="5" state="visible" r:id="rId7"/>
    <sheet name="Dashboard"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<sst xmlns="http://schemas.openxmlformats.org/spreadsheetml/2006/main" count="401" uniqueCount="324">
  <si>
    <t xml:space="preserve">SDLC Agent Productivity Tracker  ·  Setup &amp; Orientation</t>
  </si>
  <si>
    <t xml:space="preserve">  Read this sheet first. Then fill Team Registry. Then enter data weekly in Data Input.</t>
  </si>
  <si>
    <t xml:space="preserve">  WHAT THIS FILE DOES</t>
  </si>
  <si>
    <t xml:space="preserve">Purpose</t>
  </si>
  <si>
    <t xml:space="preserve">Tracks productivity gain from using SDLC AI agents. You enter raw numbers from GitHub, JIRA and SonarQube once a week. All WoW comparisons and charts are automatic.</t>
  </si>
  <si>
    <t xml:space="preserve">Takes ~15 minutes every Monday morning once set up.</t>
  </si>
  <si>
    <t xml:space="preserve">Who enters data</t>
  </si>
  <si>
    <t xml:space="preserve">One team member (the Data Collector) fills in the Data Input sheet each week. They collect numbers from all three tools and paste them in one row.</t>
  </si>
  <si>
    <t xml:space="preserve">Rotate this role monthly if preferred.</t>
  </si>
  <si>
    <t xml:space="preserve">What you get</t>
  </si>
  <si>
    <t xml:space="preserve">Automatic week-over-week % changes for 20+ metrics, 6 auto-updating charts, KPI dashboard tiles, and a team productivity comparison showing agent users vs non-users.</t>
  </si>
  <si>
    <t xml:space="preserve">All formulas pre-built — you only ever type in Data Input.</t>
  </si>
  <si>
    <t xml:space="preserve">  THE 5 SHEETS — WHAT EACH ONE IS FOR</t>
  </si>
  <si>
    <t xml:space="preserve">READ ME FIRST</t>
  </si>
  <si>
    <t xml:space="preserve">This sheet. Orientation only — do not enter data here.</t>
  </si>
  <si>
    <t xml:space="preserve">Team Registry</t>
  </si>
  <si>
    <t xml:space="preserve">Enter your team members ONCE. Mark who uses agents (Y) and who does not (N). The Dashboard uses this to split productivity comparisons.</t>
  </si>
  <si>
    <t xml:space="preserve">Fill this before your first Data Input row.</t>
  </si>
  <si>
    <t xml:space="preserve">Data Input</t>
  </si>
  <si>
    <t xml:space="preserve">The ONLY sheet the Data Collector fills in each week. One row per week. All other sheets pull from here automatically.</t>
  </si>
  <si>
    <t xml:space="preserve">Columns are colour-coded by source tool.</t>
  </si>
  <si>
    <t xml:space="preserve">WoW Analysis</t>
  </si>
  <si>
    <t xml:space="preserve">Auto-calculated. Shows % change vs prior week for every metric. Green = improvement, Red = regression. Do not edit.</t>
  </si>
  <si>
    <t xml:space="preserve">Dashboard</t>
  </si>
  <si>
    <t xml:space="preserve">Auto-updated KPI tiles and 6 charts. Refresh by pressing Ctrl+Alt+F9 (Excel) or Data → Refresh All.</t>
  </si>
  <si>
    <t xml:space="preserve">Collection Guide</t>
  </si>
  <si>
    <t xml:space="preserve">Field-by-field instructions: where to click in GitHub, JIRA, SonarQube and how to collect agent logs. Print this out for the Data Collector.</t>
  </si>
  <si>
    <t xml:space="preserve">  HOW PARTIAL TEAM ADOPTION WORKS  (e.g. 3 out of 10 using agents)</t>
  </si>
  <si>
    <t xml:space="preserve">Problem: If only 3 of your 10 developers use the SDLC agents, total team metrics (story points, PRs, bugs) will be diluted by the 7 who don't. This makes the agents look less effective than they are.
Solution: In Team Registry, mark each person as Agent User (Y) or Non-User (N). Then in Data Input, the Data Collector enters story points and tasks SEPARATELY for each group (two JQL queries in JIRA — one filtered to agent users, one to non-users). The Dashboard then shows a side-by-side comparison so you can see the true per-person productivity lift.</t>
  </si>
  <si>
    <t xml:space="preserve">Agent Users group</t>
  </si>
  <si>
    <t xml:space="preserve">Story points done this week by the people who ARE using agents. JIRA JQL: project=X AND status=Done AND assignee in (Alice,Bob,Carol) DURING (dates)</t>
  </si>
  <si>
    <t xml:space="preserve">Sum their story points</t>
  </si>
  <si>
    <t xml:space="preserve">Non-Users group</t>
  </si>
  <si>
    <t xml:space="preserve">Story points done this week by people who are NOT using agents. JIRA JQL: same query but assignee in (Dave,Eve,Frank,Grace,Henry,Ivan,Jane)</t>
  </si>
  <si>
    <t xml:space="preserve">Per-person average</t>
  </si>
  <si>
    <t xml:space="preserve">Dashboard divides each group's total by headcount automatically. This gives you avg SP per person per week — the fairest apples-to-apples comparison.</t>
  </si>
  <si>
    <t xml:space="preserve">Key metric to watch WoW</t>
  </si>
  <si>
    <t xml:space="preserve">Productivity lift %</t>
  </si>
  <si>
    <t xml:space="preserve">Calculated as: (Agent group avg SP − Non-user group avg SP) / Non-user group avg SP × 100. This is the headline number you show leadership to prove agent ROI.</t>
  </si>
  <si>
    <t xml:space="preserve">Auto-calculated in Dashboard</t>
  </si>
  <si>
    <t xml:space="preserve">  QUICK START — DO THESE IN ORDER</t>
  </si>
  <si>
    <t xml:space="preserve">Step 1</t>
  </si>
  <si>
    <t xml:space="preserve">Fill Team Registry sheet — list every developer, mark Y/N for agent use</t>
  </si>
  <si>
    <t xml:space="preserve">One-time setup, 2 minutes</t>
  </si>
  <si>
    <t xml:space="preserve">Step 2</t>
  </si>
  <si>
    <t xml:space="preserve">Read Collection Guide sheet — print it out for the Data Collector</t>
  </si>
  <si>
    <t xml:space="preserve">One-time</t>
  </si>
  <si>
    <t xml:space="preserve">Step 3</t>
  </si>
  <si>
    <t xml:space="preserve">Do your first data collection from GitHub, JIRA, SonarQube</t>
  </si>
  <si>
    <t xml:space="preserve">Monday morning, ~15 min</t>
  </si>
  <si>
    <t xml:space="preserve">Step 4</t>
  </si>
  <si>
    <t xml:space="preserve">Enter one row in Data Input — overwrite the sample data in row 6 with your real W14 data</t>
  </si>
  <si>
    <t xml:space="preserve">Step 5</t>
  </si>
  <si>
    <t xml:space="preserve">Check WoW Analysis and Dashboard</t>
  </si>
  <si>
    <t xml:space="preserve">Results are instant</t>
  </si>
  <si>
    <t xml:space="preserve">Step 6</t>
  </si>
  <si>
    <t xml:space="preserve">Repeat Steps 3-5 every Monday</t>
  </si>
  <si>
    <t xml:space="preserve">After 4 weeks, trends become meaningful</t>
  </si>
  <si>
    <t xml:space="preserve">Team Registry  ·  Fill this once before your first data entry week</t>
  </si>
  <si>
    <t xml:space="preserve">  List EVERY team member below. Set 'Uses Agents?' to Y or N. The Dashboard uses headcounts from rows 3-4 to calculate per-person averages automatically.</t>
  </si>
  <si>
    <t xml:space="preserve">TEAM SUMMARY →</t>
  </si>
  <si>
    <t xml:space="preserve">#</t>
  </si>
  <si>
    <t xml:space="preserve">First Name</t>
  </si>
  <si>
    <t xml:space="preserve">Last Name</t>
  </si>
  <si>
    <t xml:space="preserve">Role / Title</t>
  </si>
  <si>
    <t xml:space="preserve">Team / Squad</t>
  </si>
  <si>
    <t xml:space="preserve">Uses
Agents? (Y/N)</t>
  </si>
  <si>
    <t xml:space="preserve">Notes</t>
  </si>
  <si>
    <t xml:space="preserve">Alice</t>
  </si>
  <si>
    <t xml:space="preserve">Chen</t>
  </si>
  <si>
    <t xml:space="preserve">Senior Backend Engineer</t>
  </si>
  <si>
    <t xml:space="preserve">Platform</t>
  </si>
  <si>
    <t xml:space="preserve">Y</t>
  </si>
  <si>
    <t xml:space="preserve">Agent user since W14</t>
  </si>
  <si>
    <t xml:space="preserve">Bob</t>
  </si>
  <si>
    <t xml:space="preserve">Patel</t>
  </si>
  <si>
    <t xml:space="preserve">Frontend Engineer</t>
  </si>
  <si>
    <t xml:space="preserve">Carol</t>
  </si>
  <si>
    <t xml:space="preserve">Smith</t>
  </si>
  <si>
    <t xml:space="preserve">QA Automation Engineer</t>
  </si>
  <si>
    <t xml:space="preserve">Agent user since W15</t>
  </si>
  <si>
    <t xml:space="preserve">Dave</t>
  </si>
  <si>
    <t xml:space="preserve">Johnson</t>
  </si>
  <si>
    <t xml:space="preserve">Backend Engineer</t>
  </si>
  <si>
    <t xml:space="preserve">N</t>
  </si>
  <si>
    <t xml:space="preserve">Eve</t>
  </si>
  <si>
    <t xml:space="preserve">Williams</t>
  </si>
  <si>
    <t xml:space="preserve">Mobile</t>
  </si>
  <si>
    <t xml:space="preserve">Frank</t>
  </si>
  <si>
    <t xml:space="preserve">Brown</t>
  </si>
  <si>
    <t xml:space="preserve">DevOps Engineer</t>
  </si>
  <si>
    <t xml:space="preserve">Infra</t>
  </si>
  <si>
    <t xml:space="preserve">Grace</t>
  </si>
  <si>
    <t xml:space="preserve">Davis</t>
  </si>
  <si>
    <t xml:space="preserve">Henry</t>
  </si>
  <si>
    <t xml:space="preserve">Wilson</t>
  </si>
  <si>
    <t xml:space="preserve">QA Engineer</t>
  </si>
  <si>
    <t xml:space="preserve">Ivan</t>
  </si>
  <si>
    <t xml:space="preserve">Moore</t>
  </si>
  <si>
    <t xml:space="preserve">Jane</t>
  </si>
  <si>
    <t xml:space="preserve">Taylor</t>
  </si>
  <si>
    <t xml:space="preserve">Product Manager</t>
  </si>
  <si>
    <t xml:space="preserve">All</t>
  </si>
  <si>
    <t xml:space="preserve">Data Collection Guide  ·  Step-by-step instructions for the Data Collector</t>
  </si>
  <si>
    <t xml:space="preserve">  Print this sheet and keep it on your desk. Every Monday morning, follow each row in order. Total time: ~15 minutes once you know where to look.</t>
  </si>
  <si>
    <t xml:space="preserve">Field Name
(Data Input column)</t>
  </si>
  <si>
    <t xml:space="preserve">Source Tool</t>
  </si>
  <si>
    <t xml:space="preserve">Exact Steps — Where to Click</t>
  </si>
  <si>
    <t xml:space="preserve">What to Enter in Data Input</t>
  </si>
  <si>
    <t xml:space="preserve">Time / Frequency</t>
  </si>
  <si>
    <t xml:space="preserve">  GITHUB  ·  Columns D–H in Data Input</t>
  </si>
  <si>
    <t xml:space="preserve">G1</t>
  </si>
  <si>
    <t xml:space="preserve">PRs Merged
(col D)</t>
  </si>
  <si>
    <t xml:space="preserve">GitHub</t>
  </si>
  <si>
    <t xml:space="preserve">1. Go to your repo on GitHub
2. Click Insights tab (top nav)
3. Click Pulse on the left sidebar
4. Set date range: 'Last week' (Mon–Sun)
5. Read the number next to 'Merged pull requests'</t>
  </si>
  <si>
    <t xml:space="preserve">Type the number directly. Example: 12</t>
  </si>
  <si>
    <t xml:space="preserve">Weekly · 1 min</t>
  </si>
  <si>
    <t xml:space="preserve">G2</t>
  </si>
  <si>
    <t xml:space="preserve">Avg PR Age
(col E)</t>
  </si>
  <si>
    <t xml:space="preserve">1. Go to repo → Pull Requests → Closed tab
2. Filter by date: merged last week
3. For each merged PR note: Created date vs Merged date
4. Calculate days open for each PR
5. Average them</t>
  </si>
  <si>
    <t xml:space="preserve">Enter average days open. Example: 1.8
(If 3 PRs: 1 day + 2 days + 2.5 days = 5.5 ÷ 3 = 1.83)</t>
  </si>
  <si>
    <t xml:space="preserve">Weekly · 5 min</t>
  </si>
  <si>
    <t xml:space="preserve">G3</t>
  </si>
  <si>
    <t xml:space="preserve">Total Commits
(col F)</t>
  </si>
  <si>
    <t xml:space="preserve">1. Repo → Insights → Contributors
2. Scroll to the weekly bar chart
3. Find the column for last week
4. Hover over it — the tooltip shows total commits</t>
  </si>
  <si>
    <t xml:space="preserve">Type total commits across all contributors. Example: 57</t>
  </si>
  <si>
    <t xml:space="preserve">G4</t>
  </si>
  <si>
    <t xml:space="preserve">Failed CI Runs
(col G)</t>
  </si>
  <si>
    <t xml:space="preserve">1. Repo → Actions tab
2. Filter by: Last 7 days (date picker top-left)
3. Look for runs with a red ✗ (failed status)
4. Count them manually
(Tip: filter by workflow name if you have multiple workflows)</t>
  </si>
  <si>
    <t xml:space="preserve">Count of failed pipeline runs. Example: 1
If none failed, enter 0</t>
  </si>
  <si>
    <t xml:space="preserve">Weekly · 2 min</t>
  </si>
  <si>
    <t xml:space="preserve">G5</t>
  </si>
  <si>
    <t xml:space="preserve">Review Pass Rate
(col H)</t>
  </si>
  <si>
    <t xml:space="preserve">1. Repo → Insights → Pulse
2. Under 'Pull Requests', note how many PRs were merged
3. Repo → Pull Requests → Closed → filter last week
4. For each merged PR click in and check: was it APPROVED on first review or did it get changes-requested first?
5. Formula: (Approved first time ÷ Total merged) × 100</t>
  </si>
  <si>
    <t xml:space="preserve">Enter as a percentage. Example: 94
(means 94% of PRs were approved without needing rework)</t>
  </si>
  <si>
    <t xml:space="preserve">Weekly · 3 min</t>
  </si>
  <si>
    <t xml:space="preserve">  JIRA  ·  Columns I–N in Data Input</t>
  </si>
  <si>
    <t xml:space="preserve">J1</t>
  </si>
  <si>
    <t xml:space="preserve">Tasks Completed
(col I)</t>
  </si>
  <si>
    <t xml:space="preserve">JIRA</t>
  </si>
  <si>
    <t xml:space="preserve">1. JIRA → your project → Issues (top nav)
2. Switch to Advanced search (JQL)
3. Paste: project=YOURPROJECT AND status changed to Done DURING ("2026-04-14","2026-04-20")
   (change dates to last Mon–Sun)
4. Read the total count shown top-right of results</t>
  </si>
  <si>
    <t xml:space="preserve">Total number of issues (Stories + Tasks) completed. Example: 34</t>
  </si>
  <si>
    <t xml:space="preserve">J2</t>
  </si>
  <si>
    <t xml:space="preserve">Story Points
(ALL team)
(col J)</t>
  </si>
  <si>
    <t xml:space="preserve">1. Run same JQL as above (all Done issues)
2. Click Export → Export Excel CSV (all fields)
3. Open CSV in Excel
4. Find column 'customfield_10016' (or 'Story Points')
5. SUM that column
ALT: Reports → Velocity Chart → read Completed column for current sprint</t>
  </si>
  <si>
    <t xml:space="preserve">Total story points completed by entire team this week. Example: 78
(This is the whole-team number — you will split by agent/non-agent in cols K–N)</t>
  </si>
  <si>
    <t xml:space="preserve">J3</t>
  </si>
  <si>
    <t xml:space="preserve">SP — Agent Users
(col K)</t>
  </si>
  <si>
    <t xml:space="preserve">1. Same JQL but add assignee filter:
   project=X AND status changed to Done AND assignee in (Alice,Bob,Carol) DURING (dates)
   (Replace names with your agent users from Team Registry column B)
2. Export CSV → SUM story points column</t>
  </si>
  <si>
    <t xml:space="preserve">Story points completed ONLY by team members who use agents. Example: 47
(This will be HIGHER per person than non-users if agents are helping)</t>
  </si>
  <si>
    <t xml:space="preserve">J4</t>
  </si>
  <si>
    <t xml:space="preserve">SP — Non-Users
(col L)</t>
  </si>
  <si>
    <t xml:space="preserve">1. Same JQL but assignee filter for NON-users:
   project=X AND status changed to Done AND assignee in (Dave,Eve,Frank,Grace,Henry,Ivan,Jane) DURING (dates)
2. Export CSV → SUM story points</t>
  </si>
  <si>
    <t xml:space="preserve">Story points completed ONLY by team members who do NOT use agents. Example: 31</t>
  </si>
  <si>
    <t xml:space="preserve">J5</t>
  </si>
  <si>
    <t xml:space="preserve">Bugs Created
(col M)</t>
  </si>
  <si>
    <t xml:space="preserve">1. JIRA → Issues → Advanced search
2. Paste: project=X AND issuetype=Bug AND created&gt;="2026-04-14" AND created&lt;="2026-04-20"
3. Read the total count top-right</t>
  </si>
  <si>
    <t xml:space="preserve">Number of bugs reported this week across the whole team. Example: 2
Lower is better — shows agents catching issues earlier</t>
  </si>
  <si>
    <t xml:space="preserve">J6</t>
  </si>
  <si>
    <t xml:space="preserve">Avg Resolution hrs
(col N)</t>
  </si>
  <si>
    <t xml:space="preserve">1. From your Done issues export (col J steps above)
2. In Excel: add a column = (Resolved date - Created date) × 24
3. AVERAGE that column</t>
  </si>
  <si>
    <t xml:space="preserve">Average hours from ticket creation to Done. Example: 9.3
Watch this go down as agents speed up implementation</t>
  </si>
  <si>
    <t xml:space="preserve">  SONARQUBE  ·  Columns O–T in Data Input</t>
  </si>
  <si>
    <t xml:space="preserve">S1</t>
  </si>
  <si>
    <t xml:space="preserve">Line Coverage %
(col O)</t>
  </si>
  <si>
    <t xml:space="preserve">SonarQube</t>
  </si>
  <si>
    <t xml:space="preserve">1. Log in to SonarQube or SonarCloud
2. Click your project name
3. You land on Overview — large number tiles
4. Find the 'Coverage' tile (top section)
5. Read the percentage</t>
  </si>
  <si>
    <t xml:space="preserve">Coverage percentage. Example: 87
(Do not include the % sign — just the number)
Target from your config: ≥80%</t>
  </si>
  <si>
    <t xml:space="preserve">Weekly · 30 sec</t>
  </si>
  <si>
    <t xml:space="preserve">S2</t>
  </si>
  <si>
    <t xml:space="preserve">Branch Coverage %
(col P)</t>
  </si>
  <si>
    <t xml:space="preserve">1. Same Overview page
2. Click the 'Coverage' tile to open detail
3. You will see both Line Coverage and Branch Coverage broken out</t>
  </si>
  <si>
    <t xml:space="preserve">Branch coverage percentage. Example: 84
This is often 2-5% lower than line coverage — that's normal</t>
  </si>
  <si>
    <t xml:space="preserve">S3</t>
  </si>
  <si>
    <t xml:space="preserve">Sonar Bugs
(col Q)</t>
  </si>
  <si>
    <t xml:space="preserve">1. Project Overview page
2. Look at the 'Reliability' section (circle with a number)
3. That number is the current open bug count</t>
  </si>
  <si>
    <t xml:space="preserve">Number shown in Reliability circle. Example: 0
This is cumulative — watch the trend, not just the number</t>
  </si>
  <si>
    <t xml:space="preserve">S4</t>
  </si>
  <si>
    <t xml:space="preserve">Vulnerabilities
(col R)</t>
  </si>
  <si>
    <t xml:space="preserve">1. Project Overview page
2. Look at the 'Security' section
3. Read the Vulnerabilities number (NOT Security Hotspots — that's separate)</t>
  </si>
  <si>
    <t xml:space="preserve">Number of open vulnerabilities. Example: 0</t>
  </si>
  <si>
    <t xml:space="preserve">S5</t>
  </si>
  <si>
    <t xml:space="preserve">Code Smells
(col S)</t>
  </si>
  <si>
    <t xml:space="preserve">1. Project Overview page
2. Look at the 'Maintainability' section
3. Read the Code Smells number</t>
  </si>
  <si>
    <t xml:space="preserve">Number of code smells. Example: 14
This should decrease as @code-reviewer and agents enforce standards</t>
  </si>
  <si>
    <t xml:space="preserve">S6</t>
  </si>
  <si>
    <t xml:space="preserve">Security Hotspots
(col T)</t>
  </si>
  <si>
    <t xml:space="preserve">1. Project Overview page
2. Below the Security section find 'Security Hotspots'
3. Read the number
ALT: Click Security Hotspots tab (top nav in project) and count 'To Review'</t>
  </si>
  <si>
    <t xml:space="preserve">Number of security hotspots to review. Example: 0</t>
  </si>
  <si>
    <t xml:space="preserve">S7</t>
  </si>
  <si>
    <t xml:space="preserve">Quality Gate
(col U)</t>
  </si>
  <si>
    <t xml:space="preserve">1. Project Overview page — very top
2. You will see a large green 'PASSED' or red 'FAILED' badge</t>
  </si>
  <si>
    <t xml:space="preserve">Type exactly: PASS or FAIL
(No other values — must be one of these two)</t>
  </si>
  <si>
    <t xml:space="preserve">Weekly · 5 sec</t>
  </si>
  <si>
    <t xml:space="preserve">  AGENT LOGS  ·  Columns V–AF in Data Input  ·  Collect from each agent-user's machine</t>
  </si>
  <si>
    <t xml:space="preserve">A1</t>
  </si>
  <si>
    <t xml:space="preserve">Total Invocations
(col V)</t>
  </si>
  <si>
    <t xml:space="preserve">VS Code Extension</t>
  </si>
  <si>
    <t xml:space="preserve">Each developer using agents has a file:
  .github/agent-memory/usage-log.jsonl
1. Ask each agent user to share this file (Slack/email) by end of Sunday
2. Open each JSONL file in a text editor
3. Count lines where the 'week' field matches your target week
   (e.g. grep -c '"week":"2026-W17"' usage-log.jsonl)
4. Sum across all agent users</t>
  </si>
  <si>
    <t xml:space="preserve">Total invocations across all agent users this week. Example: 94</t>
  </si>
  <si>
    <t xml:space="preserve">A2</t>
  </si>
  <si>
    <t xml:space="preserve">Per-Agent counts
(cols W–AF)</t>
  </si>
  <si>
    <t xml:space="preserve">From the same JSONL files:
1. Filter lines for this week
2. Group by the 'agent' field
3. Count per agent name
Quick command (Mac/Linux):
  grep '2026-W17' usage-log.jsonl | grep -o '"agent":"[^"]*"' | sort | uniq -c
For Windows (PowerShell):
  Get-Content usage-log.jsonl | Select-String '2026-W17' | Select-String -Pattern '"agent":"([^"]+)"' | ...
Or simply: ask devs to copy-paste their agent tallies into a shared doc</t>
  </si>
  <si>
    <t xml:space="preserve">Fill one column per agent type. If an agent wasn't used, enter 0.
Orchestrator (col W), Backend (X), Frontend (Y), QA (Z), Security (AA), Reviewer (AB), DevOps (AC), PM (AD), Performance (AE), Other (AF)</t>
  </si>
  <si>
    <t xml:space="preserve">  TIPS &amp; COMMON MISTAKES</t>
  </si>
  <si>
    <t xml:space="preserve">💡</t>
  </si>
  <si>
    <t xml:space="preserve">Story points field</t>
  </si>
  <si>
    <t xml:space="preserve">JIRA's story points field varies by instance. If you don't see 'customfield_10016' in the CSV, sort the CSV headers and look for any column with numeric values 1,2,3,5,8,13. That's likely story points. Confirm by checking 1-2 known tickets.</t>
  </si>
  <si>
    <t xml:space="preserve">Quality Gate = FAIL</t>
  </si>
  <si>
    <t xml:space="preserve">If SonarQube shows FAILED, still enter all the metric numbers. The gate status is a separate column. Don't skip the row.</t>
  </si>
  <si>
    <t xml:space="preserve">New team member joins</t>
  </si>
  <si>
    <t xml:space="preserve">Update Team Registry immediately. Update your JIRA assignee lists in the two group JQL queries for next collection.</t>
  </si>
  <si>
    <t xml:space="preserve">Someone starts using agents mid-week</t>
  </si>
  <si>
    <t xml:space="preserve">Count their logs from the day they started. Note it in the Notes column in Team Registry.</t>
  </si>
  <si>
    <t xml:space="preserve">Forgot to collect on Monday</t>
  </si>
  <si>
    <t xml:space="preserve">Collect Tuesday — the data doesn't expire. Just enter the week label correctly (e.g. 2026-W17 even if collected Wednesday).</t>
  </si>
  <si>
    <t xml:space="preserve">Agent user's JSONL missing</t>
  </si>
  <si>
    <t xml:space="preserve">They may not have triggered the log write yet. Check the file path: .github/agent-memory/usage-log.jsonl in their local repo clone. If missing, enter 0 and ask them to check the extension is installed and activated.</t>
  </si>
  <si>
    <t xml:space="preserve">Data Input  ·  One row per week  ·  This is the ONLY sheet you fill in</t>
  </si>
  <si>
    <t xml:space="preserve">  Columns are colour-coded by source tool: GREY=week info  GREEN=GitHub  AMBER=JIRA  TEAL=Team Comparison (agent vs non-user)  PURPLE=SonarQube  BLUE=Agent logs  ·  See Collection Guide sheet for step-by-step instructions on every field</t>
  </si>
  <si>
    <t xml:space="preserve">WEEK INFO</t>
  </si>
  <si>
    <t xml:space="preserve">GITHUB</t>
  </si>
  <si>
    <t xml:space="preserve">TEAM COMPARISON</t>
  </si>
  <si>
    <t xml:space="preserve">SONARQUBE</t>
  </si>
  <si>
    <t xml:space="preserve">AGENT LOGS</t>
  </si>
  <si>
    <t xml:space="preserve">Week
(ISO format)</t>
  </si>
  <si>
    <t xml:space="preserve">Week
Start Date</t>
  </si>
  <si>
    <t xml:space="preserve">Week
End Date</t>
  </si>
  <si>
    <t xml:space="preserve">PRs
Merged</t>
  </si>
  <si>
    <t xml:space="preserve">Avg PR
Age (days)</t>
  </si>
  <si>
    <t xml:space="preserve">Total
Commits</t>
  </si>
  <si>
    <t xml:space="preserve">Failed
CI Runs</t>
  </si>
  <si>
    <t xml:space="preserve">Review
Pass Rate %</t>
  </si>
  <si>
    <t xml:space="preserve">Tasks
Completed</t>
  </si>
  <si>
    <t xml:space="preserve">Story Pts
(Whole Team)</t>
  </si>
  <si>
    <t xml:space="preserve">Story Pts
(Agent Users)</t>
  </si>
  <si>
    <t xml:space="preserve">Story Pts
(Non-Users)</t>
  </si>
  <si>
    <t xml:space="preserve">Bugs
Created</t>
  </si>
  <si>
    <t xml:space="preserve">Avg Resol.
(hrs)</t>
  </si>
  <si>
    <t xml:space="preserve">Line
Coverage %</t>
  </si>
  <si>
    <t xml:space="preserve">Branch
Coverage %</t>
  </si>
  <si>
    <t xml:space="preserve">Sonar
Bugs</t>
  </si>
  <si>
    <t xml:space="preserve">Vulner-
abilities</t>
  </si>
  <si>
    <t xml:space="preserve">Code
Smells</t>
  </si>
  <si>
    <t xml:space="preserve">Security
Hotspots</t>
  </si>
  <si>
    <t xml:space="preserve">Quality
Gate (PASS/FAIL)</t>
  </si>
  <si>
    <t xml:space="preserve">Total
Invocations</t>
  </si>
  <si>
    <t xml:space="preserve">Orchestrator</t>
  </si>
  <si>
    <t xml:space="preserve">Backend
Eng.</t>
  </si>
  <si>
    <t xml:space="preserve">Frontend
Eng.</t>
  </si>
  <si>
    <t xml:space="preserve">QA
Automation</t>
  </si>
  <si>
    <t xml:space="preserve">Security
Arch.</t>
  </si>
  <si>
    <t xml:space="preserve">Code
Reviewer</t>
  </si>
  <si>
    <t xml:space="preserve">DevOps
Eng.</t>
  </si>
  <si>
    <t xml:space="preserve">Project
Mgr.</t>
  </si>
  <si>
    <t xml:space="preserve">Performance
Eng.</t>
  </si>
  <si>
    <t xml:space="preserve">Other
Agents</t>
  </si>
  <si>
    <t xml:space="preserve">2026-W14</t>
  </si>
  <si>
    <t xml:space="preserve">2026-04-07</t>
  </si>
  <si>
    <t xml:space="preserve">2026-04-13</t>
  </si>
  <si>
    <t xml:space="preserve">PASS</t>
  </si>
  <si>
    <t xml:space="preserve">2026-W15</t>
  </si>
  <si>
    <t xml:space="preserve">2026-04-14</t>
  </si>
  <si>
    <t xml:space="preserve">2026-04-20</t>
  </si>
  <si>
    <t xml:space="preserve">2026-W16</t>
  </si>
  <si>
    <t xml:space="preserve">2026-04-21</t>
  </si>
  <si>
    <t xml:space="preserve">2026-04-27</t>
  </si>
  <si>
    <t xml:space="preserve">2026-W17</t>
  </si>
  <si>
    <t xml:space="preserve">2026-04-28</t>
  </si>
  <si>
    <t xml:space="preserve">2026-05-04</t>
  </si>
  <si>
    <t xml:space="preserve">2026-W18</t>
  </si>
  <si>
    <t xml:space="preserve">2026-W19</t>
  </si>
  <si>
    <t xml:space="preserve">2026-W20</t>
  </si>
  <si>
    <t xml:space="preserve">2026-W21</t>
  </si>
  <si>
    <t xml:space="preserve">2026-W22</t>
  </si>
  <si>
    <t xml:space="preserve">2026-W23</t>
  </si>
  <si>
    <t xml:space="preserve">2026-W24</t>
  </si>
  <si>
    <t xml:space="preserve">2026-W25</t>
  </si>
  <si>
    <t xml:space="preserve">2026-W26</t>
  </si>
  <si>
    <t xml:space="preserve">2026-W27</t>
  </si>
  <si>
    <t xml:space="preserve">2026-W28</t>
  </si>
  <si>
    <t xml:space="preserve">2026-W29</t>
  </si>
  <si>
    <t xml:space="preserve">2026-W30</t>
  </si>
  <si>
    <t xml:space="preserve">2026-W31</t>
  </si>
  <si>
    <t xml:space="preserve">2026-W32</t>
  </si>
  <si>
    <t xml:space="preserve">2026-W33</t>
  </si>
  <si>
    <t xml:space="preserve">Week-over-Week % Change  ·  Green = improvement  ·  Red = regression  ·  Auto-calculated — do not edit</t>
  </si>
  <si>
    <t xml:space="preserve">  For 'lower is better' metrics (bugs, smells, PR age, resolution time, vulnerabilities), a negative raw change is shown as POSITIVE here (green) because reducing them is good. Prod. Lift % = how much more output agent users produce per person vs non-users.</t>
  </si>
  <si>
    <t xml:space="preserve">Week</t>
  </si>
  <si>
    <t xml:space="preserve">PRs Merged
(↑ good)</t>
  </si>
  <si>
    <t xml:space="preserve">PR Age (days)
(↓ good)</t>
  </si>
  <si>
    <t xml:space="preserve">Commits
(↑ good)</t>
  </si>
  <si>
    <t xml:space="preserve">Failed CI
(↓ good)</t>
  </si>
  <si>
    <t xml:space="preserve">Review Pass %
(↑ good)</t>
  </si>
  <si>
    <t xml:space="preserve">Tasks Done
(↑ good)</t>
  </si>
  <si>
    <t xml:space="preserve">Story Pts (All)
(↑ good)</t>
  </si>
  <si>
    <t xml:space="preserve">SP Agent Users
(↑ good)</t>
  </si>
  <si>
    <t xml:space="preserve">SP Non-Users
(↑ good)</t>
  </si>
  <si>
    <t xml:space="preserve">Productivity
Lift % ★
(↑ good)</t>
  </si>
  <si>
    <t xml:space="preserve">Bugs Created
(↓ good)</t>
  </si>
  <si>
    <t xml:space="preserve">Avg Resol hrs
(↓ good)</t>
  </si>
  <si>
    <t xml:space="preserve">Line Cov %
(↑ good)</t>
  </si>
  <si>
    <t xml:space="preserve">Branch Cov %
(↑ good)</t>
  </si>
  <si>
    <t xml:space="preserve">Sonar Bugs
(↓ good)</t>
  </si>
  <si>
    <t xml:space="preserve">Vulns
(↓ good)</t>
  </si>
  <si>
    <t xml:space="preserve">Code Smells
(↓ good)</t>
  </si>
  <si>
    <t xml:space="preserve">Invocations
(↑ good)</t>
  </si>
  <si>
    <t xml:space="preserve">Est Hrs Saved
(↑ good)</t>
  </si>
  <si>
    <t xml:space="preserve">BASE</t>
  </si>
  <si>
    <t xml:space="preserve">SDLC Agent Productivity Dashboard  ·  Auto-updates from Data Input</t>
  </si>
  <si>
    <t xml:space="preserve">  KPI TILES  ·  Latest week vs prior week  ·  ★ = key metric  ·  Green = improvement  ·  Red = regression</t>
  </si>
  <si>
    <t xml:space="preserve">★ Invocations</t>
  </si>
  <si>
    <t xml:space="preserve">Story Pts (All)</t>
  </si>
  <si>
    <t xml:space="preserve">Tasks Completed</t>
  </si>
  <si>
    <t xml:space="preserve">PRs Merged</t>
  </si>
  <si>
    <t xml:space="preserve">Line Coverage %</t>
  </si>
  <si>
    <t xml:space="preserve">Bugs Created</t>
  </si>
  <si>
    <t xml:space="preserve">Code Smells</t>
  </si>
  <si>
    <t xml:space="preserve">Vulnerabilities</t>
  </si>
  <si>
    <t xml:space="preserve">  ★  PRODUCTIVITY LIFT — Agent Users vs Non-Users  (per person per week)</t>
  </si>
  <si>
    <t xml:space="preserve">Avg SP / Person
Agent Users</t>
  </si>
  <si>
    <t xml:space="preserve">Avg SP / Person
Non-Users</t>
  </si>
  <si>
    <t xml:space="preserve">★ Productivity
Lift %</t>
  </si>
  <si>
    <t xml:space="preserve">Agent Users
vs Team Size</t>
  </si>
</sst>
</file>

<file path=xl/styles.xml><?xml version="1.0" encoding="utf-8"?>
<styleSheet xmlns="http://schemas.openxmlformats.org/spreadsheetml/2006/main">
  <numFmts count="5">
    <numFmt numFmtId="164" formatCode="General"/>
    <numFmt numFmtId="165" formatCode="General"/>
    <numFmt numFmtId="166" formatCode="0%"/>
    <numFmt numFmtId="167" formatCode="\+0.0;\-0.0"/>
    <numFmt numFmtId="168" formatCode="0.0"/>
  </numFmts>
  <fonts count="40">
    <font>
      <sz val="11"/>
      <color theme="1"/>
      <name val="Calibri"/>
      <family val="2"/>
      <charset val="1"/>
    </font>
    <font>
      <sz val="10"/>
      <name val="Arial"/>
      <family val="0"/>
    </font>
    <font>
      <sz val="10"/>
      <name val="Arial"/>
      <family val="0"/>
    </font>
    <font>
      <sz val="10"/>
      <name val="Arial"/>
      <family val="0"/>
    </font>
    <font>
      <b val="true"/>
      <sz val="15"/>
      <color rgb="FFFFFFFF"/>
      <name val="Arial"/>
      <family val="0"/>
      <charset val="1"/>
    </font>
    <font>
      <sz val="9"/>
      <color rgb="FF475569"/>
      <name val="Arial"/>
      <family val="0"/>
      <charset val="1"/>
    </font>
    <font>
      <b val="true"/>
      <sz val="11"/>
      <color rgb="FFFFFFFF"/>
      <name val="Arial"/>
      <family val="0"/>
      <charset val="1"/>
    </font>
    <font>
      <b val="true"/>
      <sz val="9"/>
      <color rgb="FF0F172A"/>
      <name val="Arial"/>
      <family val="0"/>
      <charset val="1"/>
    </font>
    <font>
      <sz val="9"/>
      <color rgb="FF334155"/>
      <name val="Arial"/>
      <family val="0"/>
      <charset val="1"/>
    </font>
    <font>
      <i val="true"/>
      <sz val="9"/>
      <color rgb="FF475569"/>
      <name val="Arial"/>
      <family val="0"/>
      <charset val="1"/>
    </font>
    <font>
      <sz val="9"/>
      <color rgb="FF1E293B"/>
      <name val="Arial"/>
      <family val="0"/>
      <charset val="1"/>
    </font>
    <font>
      <b val="true"/>
      <sz val="13"/>
      <color rgb="FFFFFFFF"/>
      <name val="Arial"/>
      <family val="0"/>
      <charset val="1"/>
    </font>
    <font>
      <b val="true"/>
      <sz val="8"/>
      <color rgb="FFFFFFFF"/>
      <name val="Arial"/>
      <family val="0"/>
      <charset val="1"/>
    </font>
    <font>
      <b val="true"/>
      <sz val="9"/>
      <color rgb="FFFFFFFF"/>
      <name val="Arial"/>
      <family val="0"/>
      <charset val="1"/>
    </font>
    <font>
      <b val="true"/>
      <sz val="9"/>
      <color rgb="FF047857"/>
      <name val="Arial"/>
      <family val="0"/>
      <charset val="1"/>
    </font>
    <font>
      <b val="true"/>
      <sz val="9"/>
      <color rgb="FFBE123C"/>
      <name val="Arial"/>
      <family val="0"/>
      <charset val="1"/>
    </font>
    <font>
      <sz val="9"/>
      <color rgb="FFCBD5E1"/>
      <name val="Arial"/>
      <family val="0"/>
      <charset val="1"/>
    </font>
    <font>
      <b val="true"/>
      <sz val="14"/>
      <color rgb="FFFFFFFF"/>
      <name val="Arial"/>
      <family val="0"/>
      <charset val="1"/>
    </font>
    <font>
      <b val="true"/>
      <sz val="10"/>
      <color rgb="FFFFFFFF"/>
      <name val="Arial"/>
      <family val="0"/>
      <charset val="1"/>
    </font>
    <font>
      <b val="true"/>
      <sz val="9"/>
      <color rgb="FF475569"/>
      <name val="Arial"/>
      <family val="0"/>
      <charset val="1"/>
    </font>
    <font>
      <sz val="9"/>
      <color rgb="FF0F172A"/>
      <name val="Arial"/>
      <family val="0"/>
      <charset val="1"/>
    </font>
    <font>
      <b val="true"/>
      <sz val="9"/>
      <color rgb="FF92400E"/>
      <name val="Arial"/>
      <family val="0"/>
      <charset val="1"/>
    </font>
    <font>
      <sz val="9"/>
      <color rgb="FF92400E"/>
      <name val="Arial"/>
      <family val="0"/>
      <charset val="1"/>
    </font>
    <font>
      <sz val="9"/>
      <color rgb="FF94A3B8"/>
      <name val="Arial"/>
      <family val="0"/>
      <charset val="1"/>
    </font>
    <font>
      <sz val="9"/>
      <color rgb="FF000000"/>
      <name val="Arial"/>
      <family val="0"/>
      <charset val="1"/>
    </font>
    <font>
      <sz val="8"/>
      <color rgb="FFFFFFFF"/>
      <name val="Arial"/>
      <family val="0"/>
      <charset val="1"/>
    </font>
    <font>
      <sz val="8"/>
      <color rgb="FF64748B"/>
      <name val="Arial"/>
      <family val="0"/>
      <charset val="1"/>
    </font>
    <font>
      <b val="true"/>
      <sz val="13"/>
      <color rgb="FF0D9488"/>
      <name val="Arial"/>
      <family val="0"/>
      <charset val="1"/>
    </font>
    <font>
      <b val="true"/>
      <sz val="13"/>
      <color rgb="FF1D4ED8"/>
      <name val="Arial"/>
      <family val="0"/>
      <charset val="1"/>
    </font>
    <font>
      <b val="true"/>
      <sz val="13"/>
      <color rgb="FF047857"/>
      <name val="Arial"/>
      <family val="0"/>
      <charset val="1"/>
    </font>
    <font>
      <b val="true"/>
      <sz val="13"/>
      <color rgb="FFB45309"/>
      <name val="Arial"/>
      <family val="0"/>
      <charset val="1"/>
    </font>
    <font>
      <b val="true"/>
      <sz val="13"/>
      <color rgb="FF6D28D9"/>
      <name val="Arial"/>
      <family val="0"/>
      <charset val="1"/>
    </font>
    <font>
      <b val="true"/>
      <sz val="13"/>
      <color rgb="FFBE123C"/>
      <name val="Arial"/>
      <family val="0"/>
      <charset val="1"/>
    </font>
    <font>
      <b val="true"/>
      <sz val="9"/>
      <color rgb="FF000000"/>
      <name val="Arial"/>
      <family val="0"/>
      <charset val="1"/>
    </font>
    <font>
      <b val="true"/>
      <sz val="14"/>
      <color rgb="FF0D9488"/>
      <name val="Arial"/>
      <family val="0"/>
      <charset val="1"/>
    </font>
    <font>
      <b val="true"/>
      <sz val="14"/>
      <color rgb="FF475569"/>
      <name val="Arial"/>
      <family val="0"/>
      <charset val="1"/>
    </font>
    <font>
      <b val="true"/>
      <sz val="14"/>
      <color rgb="FF047857"/>
      <name val="Arial"/>
      <family val="0"/>
      <charset val="1"/>
    </font>
    <font>
      <b val="true"/>
      <sz val="14"/>
      <color rgb="FFB45309"/>
      <name val="Arial"/>
      <family val="0"/>
      <charset val="1"/>
    </font>
    <font>
      <b val="true"/>
      <sz val="18"/>
      <color rgb="FF000000"/>
      <name val="Calibri"/>
      <family val="2"/>
    </font>
    <font>
      <sz val="10"/>
      <color rgb="FF000000"/>
      <name val="Calibri"/>
      <family val="2"/>
    </font>
  </fonts>
  <fills count="26">
    <fill>
      <patternFill patternType="none"/>
    </fill>
    <fill>
      <patternFill patternType="gray125"/>
    </fill>
    <fill>
      <patternFill patternType="solid">
        <fgColor rgb="FF0F172A"/>
        <bgColor rgb="FF1E293B"/>
      </patternFill>
    </fill>
    <fill>
      <patternFill patternType="solid">
        <fgColor rgb="FFF1F5F9"/>
        <bgColor rgb="FFEFF6FF"/>
      </patternFill>
    </fill>
    <fill>
      <patternFill patternType="solid">
        <fgColor rgb="FFE0F2FE"/>
        <bgColor rgb="FFDBEAFE"/>
      </patternFill>
    </fill>
    <fill>
      <patternFill patternType="solid">
        <fgColor rgb="FFFFFFFF"/>
        <bgColor rgb="FFF8FAFC"/>
      </patternFill>
    </fill>
    <fill>
      <patternFill patternType="solid">
        <fgColor rgb="FFEFF6FF"/>
        <bgColor rgb="FFF1F5F9"/>
      </patternFill>
    </fill>
    <fill>
      <patternFill patternType="solid">
        <fgColor rgb="FF134E4A"/>
        <bgColor rgb="FF14532D"/>
      </patternFill>
    </fill>
    <fill>
      <patternFill patternType="solid">
        <fgColor rgb="FFCCFBF1"/>
        <bgColor rgb="FFD1FAE5"/>
      </patternFill>
    </fill>
    <fill>
      <patternFill patternType="solid">
        <fgColor rgb="FF92400E"/>
        <bgColor rgb="FF78350F"/>
      </patternFill>
    </fill>
    <fill>
      <patternFill patternType="solid">
        <fgColor rgb="FFFFF7ED"/>
        <bgColor rgb="FFFFFBEB"/>
      </patternFill>
    </fill>
    <fill>
      <patternFill patternType="solid">
        <fgColor rgb="FFFEF3C7"/>
        <bgColor rgb="FFFFF7ED"/>
      </patternFill>
    </fill>
    <fill>
      <patternFill patternType="solid">
        <fgColor rgb="FF14532D"/>
        <bgColor rgb="FF134E4A"/>
      </patternFill>
    </fill>
    <fill>
      <patternFill patternType="solid">
        <fgColor rgb="FFDCFCE7"/>
        <bgColor rgb="FFD1FAE5"/>
      </patternFill>
    </fill>
    <fill>
      <patternFill patternType="solid">
        <fgColor rgb="FF1E3A8A"/>
        <bgColor rgb="FF334155"/>
      </patternFill>
    </fill>
    <fill>
      <patternFill patternType="solid">
        <fgColor rgb="FF0D9488"/>
        <bgColor rgb="FF047857"/>
      </patternFill>
    </fill>
    <fill>
      <patternFill patternType="solid">
        <fgColor rgb="FFF8FAFC"/>
        <bgColor rgb="FFFFFFFF"/>
      </patternFill>
    </fill>
    <fill>
      <patternFill patternType="solid">
        <fgColor rgb="FFDBEAFE"/>
        <bgColor rgb="FFE2E8F0"/>
      </patternFill>
    </fill>
    <fill>
      <patternFill patternType="solid">
        <fgColor rgb="FFFEE2E2"/>
        <bgColor rgb="FFF3E8FF"/>
      </patternFill>
    </fill>
    <fill>
      <patternFill patternType="solid">
        <fgColor rgb="FFF0FFF4"/>
        <bgColor rgb="FFF0FDF4"/>
      </patternFill>
    </fill>
    <fill>
      <patternFill patternType="solid">
        <fgColor rgb="FFFFFBEB"/>
        <bgColor rgb="FFFFF7ED"/>
      </patternFill>
    </fill>
    <fill>
      <patternFill patternType="solid">
        <fgColor rgb="FFF0FDF4"/>
        <bgColor rgb="FFF0FFF4"/>
      </patternFill>
    </fill>
    <fill>
      <patternFill patternType="solid">
        <fgColor rgb="FF78350F"/>
        <bgColor rgb="FF92400E"/>
      </patternFill>
    </fill>
    <fill>
      <patternFill patternType="solid">
        <fgColor rgb="FF3B0764"/>
        <bgColor rgb="FF0F172A"/>
      </patternFill>
    </fill>
    <fill>
      <patternFill patternType="solid">
        <fgColor rgb="FFF3E8FF"/>
        <bgColor rgb="FFF5F3FF"/>
      </patternFill>
    </fill>
    <fill>
      <patternFill patternType="solid">
        <fgColor rgb="FFF5F3FF"/>
        <bgColor rgb="FFF1F5F9"/>
      </patternFill>
    </fill>
  </fills>
  <borders count="8">
    <border diagonalUp="false" diagonalDown="false">
      <left/>
      <right/>
      <top/>
      <bottom/>
      <diagonal/>
    </border>
    <border diagonalUp="false" diagonalDown="false">
      <left style="thin">
        <color rgb="FFE2E8F0"/>
      </left>
      <right style="thin">
        <color rgb="FFE2E8F0"/>
      </right>
      <top style="thin">
        <color rgb="FFE2E8F0"/>
      </top>
      <bottom style="thin">
        <color rgb="FFE2E8F0"/>
      </bottom>
      <diagonal/>
    </border>
    <border diagonalUp="false" diagonalDown="false">
      <left style="thin">
        <color rgb="FFD97706"/>
      </left>
      <right/>
      <top style="thin">
        <color rgb="FFD97706"/>
      </top>
      <bottom style="thin">
        <color rgb="FFD97706"/>
      </bottom>
      <diagonal/>
    </border>
    <border diagonalUp="false" diagonalDown="false">
      <left style="thin">
        <color rgb="FFFFFFFF"/>
      </left>
      <right style="thin">
        <color rgb="FFFFFFFF"/>
      </right>
      <top style="thin">
        <color rgb="FFFFFFFF"/>
      </top>
      <bottom style="thin">
        <color rgb="FFFFFFFF"/>
      </bottom>
      <diagonal/>
    </border>
    <border diagonalUp="false" diagonalDown="false">
      <left style="thin">
        <color rgb="FFD1D5DB"/>
      </left>
      <right style="thin">
        <color rgb="FFD1D5DB"/>
      </right>
      <top style="thin">
        <color rgb="FFD1D5DB"/>
      </top>
      <bottom style="thin">
        <color rgb="FFD1D5DB"/>
      </bottom>
      <diagonal/>
    </border>
    <border diagonalUp="false" diagonalDown="false">
      <left style="thin">
        <color rgb="FFFFFFFF"/>
      </left>
      <right/>
      <top style="thin">
        <color rgb="FFFFFFFF"/>
      </top>
      <bottom style="thin">
        <color rgb="FFFFFFFF"/>
      </bottom>
      <diagonal/>
    </border>
    <border diagonalUp="false" diagonalDown="false">
      <left style="thin">
        <color rgb="FFE2E8F0"/>
      </left>
      <right/>
      <top style="thin">
        <color rgb="FFE2E8F0"/>
      </top>
      <bottom style="thin">
        <color rgb="FFE2E8F0"/>
      </bottom>
      <diagonal/>
    </border>
    <border diagonalUp="false" diagonalDown="false">
      <left style="thin">
        <color rgb="FF99F6E4"/>
      </left>
      <right/>
      <top style="thin">
        <color rgb="FF99F6E4"/>
      </top>
      <bottom style="thin">
        <color rgb="FF99F6E4"/>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0" shrinkToFit="false"/>
      <protection locked="true" hidden="false"/>
    </xf>
    <xf numFmtId="164" fontId="5" fillId="3" borderId="0" xfId="0" applyFont="true" applyBorder="true" applyAlignment="true" applyProtection="false">
      <alignment horizontal="left" vertical="center" textRotation="0" wrapText="false" indent="0" shrinkToFit="false"/>
      <protection locked="true" hidden="false"/>
    </xf>
    <xf numFmtId="164" fontId="6" fillId="2" borderId="0" xfId="0" applyFont="true" applyBorder="true" applyAlignment="true" applyProtection="false">
      <alignment horizontal="left" vertical="center" textRotation="0" wrapText="false" indent="0" shrinkToFit="false"/>
      <protection locked="true" hidden="false"/>
    </xf>
    <xf numFmtId="164" fontId="7" fillId="4" borderId="1" xfId="0" applyFont="true" applyBorder="true" applyAlignment="true" applyProtection="false">
      <alignment horizontal="left" vertical="top" textRotation="0" wrapText="true" indent="0" shrinkToFit="false"/>
      <protection locked="true" hidden="false"/>
    </xf>
    <xf numFmtId="164" fontId="8" fillId="5" borderId="1" xfId="0" applyFont="true" applyBorder="true" applyAlignment="true" applyProtection="false">
      <alignment horizontal="left" vertical="top" textRotation="0" wrapText="true" indent="0" shrinkToFit="false"/>
      <protection locked="true" hidden="false"/>
    </xf>
    <xf numFmtId="164" fontId="9" fillId="6" borderId="1" xfId="0" applyFont="true" applyBorder="true" applyAlignment="true" applyProtection="false">
      <alignment horizontal="left" vertical="top" textRotation="0" wrapText="true" indent="0" shrinkToFit="false"/>
      <protection locked="true" hidden="false"/>
    </xf>
    <xf numFmtId="164" fontId="6" fillId="7" borderId="0" xfId="0" applyFont="true" applyBorder="true" applyAlignment="true" applyProtection="false">
      <alignment horizontal="left" vertical="center" textRotation="0" wrapText="false" indent="0" shrinkToFit="false"/>
      <protection locked="true" hidden="false"/>
    </xf>
    <xf numFmtId="164" fontId="7" fillId="8" borderId="1" xfId="0" applyFont="true" applyBorder="true" applyAlignment="true" applyProtection="false">
      <alignment horizontal="left" vertical="top" textRotation="0" wrapText="true" indent="0" shrinkToFit="false"/>
      <protection locked="true" hidden="false"/>
    </xf>
    <xf numFmtId="164" fontId="6" fillId="9" borderId="0" xfId="0" applyFont="true" applyBorder="true" applyAlignment="true" applyProtection="false">
      <alignment horizontal="left" vertical="center" textRotation="0" wrapText="false" indent="0" shrinkToFit="false"/>
      <protection locked="true" hidden="false"/>
    </xf>
    <xf numFmtId="164" fontId="10" fillId="10" borderId="2" xfId="0" applyFont="true" applyBorder="true" applyAlignment="true" applyProtection="false">
      <alignment horizontal="left" vertical="top" textRotation="0" wrapText="true" indent="0" shrinkToFit="false"/>
      <protection locked="true" hidden="false"/>
    </xf>
    <xf numFmtId="164" fontId="7" fillId="11" borderId="1" xfId="0" applyFont="true" applyBorder="true" applyAlignment="true" applyProtection="false">
      <alignment horizontal="left" vertical="top" textRotation="0" wrapText="true" indent="0" shrinkToFit="false"/>
      <protection locked="true" hidden="false"/>
    </xf>
    <xf numFmtId="164" fontId="6" fillId="12" borderId="0" xfId="0" applyFont="true" applyBorder="true" applyAlignment="true" applyProtection="false">
      <alignment horizontal="left" vertical="center" textRotation="0" wrapText="false" indent="0" shrinkToFit="false"/>
      <protection locked="true" hidden="false"/>
    </xf>
    <xf numFmtId="164" fontId="7" fillId="13" borderId="1" xfId="0" applyFont="true" applyBorder="true" applyAlignment="true" applyProtection="false">
      <alignment horizontal="left" vertical="top" textRotation="0" wrapText="true" indent="0" shrinkToFit="false"/>
      <protection locked="true" hidden="false"/>
    </xf>
    <xf numFmtId="164" fontId="11" fillId="2" borderId="0" xfId="0" applyFont="true" applyBorder="true" applyAlignment="true" applyProtection="false">
      <alignment horizontal="left" vertical="center" textRotation="0" wrapText="false" indent="0" shrinkToFit="false"/>
      <protection locked="true" hidden="false"/>
    </xf>
    <xf numFmtId="164" fontId="12" fillId="2" borderId="0" xfId="0" applyFont="true" applyBorder="false" applyAlignment="true" applyProtection="false">
      <alignment horizontal="center" vertical="center" textRotation="0" wrapText="false" indent="0" shrinkToFit="false"/>
      <protection locked="true" hidden="false"/>
    </xf>
    <xf numFmtId="165" fontId="11" fillId="2" borderId="3" xfId="0" applyFont="true" applyBorder="true" applyAlignment="true" applyProtection="false">
      <alignment horizontal="center" vertical="center" textRotation="0" wrapText="false" indent="0" shrinkToFit="false"/>
      <protection locked="true" hidden="false"/>
    </xf>
    <xf numFmtId="165" fontId="11" fillId="14" borderId="3" xfId="0" applyFont="true" applyBorder="true" applyAlignment="true" applyProtection="false">
      <alignment horizontal="center" vertical="center" textRotation="0" wrapText="false" indent="0" shrinkToFit="false"/>
      <protection locked="true" hidden="false"/>
    </xf>
    <xf numFmtId="165" fontId="11" fillId="12" borderId="3" xfId="0" applyFont="true" applyBorder="true" applyAlignment="true" applyProtection="false">
      <alignment horizontal="center" vertical="center" textRotation="0" wrapText="false" indent="0" shrinkToFit="false"/>
      <protection locked="true" hidden="false"/>
    </xf>
    <xf numFmtId="166" fontId="11" fillId="15" borderId="3" xfId="0" applyFont="true" applyBorder="true" applyAlignment="true" applyProtection="false">
      <alignment horizontal="center" vertical="center" textRotation="0" wrapText="false" indent="0" shrinkToFit="false"/>
      <protection locked="true" hidden="false"/>
    </xf>
    <xf numFmtId="164" fontId="13" fillId="2" borderId="0" xfId="0" applyFont="true" applyBorder="false" applyAlignment="false" applyProtection="false">
      <alignment horizontal="general" vertical="bottom" textRotation="0" wrapText="false" indent="0" shrinkToFit="false"/>
      <protection locked="true" hidden="false"/>
    </xf>
    <xf numFmtId="164" fontId="13" fillId="2" borderId="3" xfId="0" applyFont="true" applyBorder="true" applyAlignment="true" applyProtection="false">
      <alignment horizontal="center" vertical="center" textRotation="0" wrapText="true" indent="0" shrinkToFit="false"/>
      <protection locked="true" hidden="false"/>
    </xf>
    <xf numFmtId="164" fontId="13" fillId="14" borderId="3" xfId="0" applyFont="true" applyBorder="true" applyAlignment="true" applyProtection="false">
      <alignment horizontal="center" vertical="center" textRotation="0" wrapText="true" indent="0" shrinkToFit="false"/>
      <protection locked="true" hidden="false"/>
    </xf>
    <xf numFmtId="164" fontId="10" fillId="16" borderId="4" xfId="0" applyFont="true" applyBorder="true" applyAlignment="true" applyProtection="false">
      <alignment horizontal="center" vertical="center" textRotation="0" wrapText="false" indent="0" shrinkToFit="false"/>
      <protection locked="true" hidden="false"/>
    </xf>
    <xf numFmtId="164" fontId="10" fillId="17" borderId="4" xfId="0" applyFont="true" applyBorder="true" applyAlignment="true" applyProtection="false">
      <alignment horizontal="center" vertical="center" textRotation="0" wrapText="false" indent="0" shrinkToFit="false"/>
      <protection locked="true" hidden="false"/>
    </xf>
    <xf numFmtId="164" fontId="14" fillId="17" borderId="4" xfId="0" applyFont="true" applyBorder="true" applyAlignment="true" applyProtection="false">
      <alignment horizontal="center" vertical="center" textRotation="0" wrapText="false" indent="0" shrinkToFit="false"/>
      <protection locked="true" hidden="false"/>
    </xf>
    <xf numFmtId="164" fontId="10" fillId="13" borderId="4" xfId="0" applyFont="true" applyBorder="true" applyAlignment="true" applyProtection="false">
      <alignment horizontal="center" vertical="center" textRotation="0" wrapText="false" indent="0" shrinkToFit="false"/>
      <protection locked="true" hidden="false"/>
    </xf>
    <xf numFmtId="164" fontId="15" fillId="18" borderId="4" xfId="0" applyFont="true" applyBorder="true" applyAlignment="true" applyProtection="false">
      <alignment horizontal="center" vertical="center" textRotation="0" wrapText="false" indent="0" shrinkToFit="false"/>
      <protection locked="true" hidden="false"/>
    </xf>
    <xf numFmtId="164" fontId="16" fillId="16" borderId="1" xfId="0" applyFont="true" applyBorder="true" applyAlignment="true" applyProtection="false">
      <alignment horizontal="center" vertical="center" textRotation="0" wrapText="false" indent="0" shrinkToFit="false"/>
      <protection locked="true" hidden="false"/>
    </xf>
    <xf numFmtId="164" fontId="0" fillId="16" borderId="1" xfId="0" applyFont="false" applyBorder="true" applyAlignment="false" applyProtection="false">
      <alignment horizontal="general" vertical="bottom" textRotation="0" wrapText="false" indent="0" shrinkToFit="false"/>
      <protection locked="true" hidden="false"/>
    </xf>
    <xf numFmtId="164" fontId="17" fillId="2" borderId="0" xfId="0" applyFont="true" applyBorder="true" applyAlignment="true" applyProtection="false">
      <alignment horizontal="left" vertical="center" textRotation="0" wrapText="false" indent="0" shrinkToFit="false"/>
      <protection locked="true" hidden="false"/>
    </xf>
    <xf numFmtId="164" fontId="18" fillId="12" borderId="0" xfId="0" applyFont="true" applyBorder="true" applyAlignment="true" applyProtection="false">
      <alignment horizontal="left" vertical="center" textRotation="0" wrapText="false" indent="0" shrinkToFit="false"/>
      <protection locked="true" hidden="false"/>
    </xf>
    <xf numFmtId="164" fontId="19" fillId="16" borderId="4" xfId="0" applyFont="true" applyBorder="true" applyAlignment="true" applyProtection="false">
      <alignment horizontal="left" vertical="top" textRotation="0" wrapText="true" indent="0" shrinkToFit="false"/>
      <protection locked="true" hidden="false"/>
    </xf>
    <xf numFmtId="164" fontId="7" fillId="13" borderId="4" xfId="0" applyFont="true" applyBorder="true" applyAlignment="true" applyProtection="false">
      <alignment horizontal="left" vertical="top" textRotation="0" wrapText="true" indent="0" shrinkToFit="false"/>
      <protection locked="true" hidden="false"/>
    </xf>
    <xf numFmtId="164" fontId="20" fillId="13" borderId="4" xfId="0" applyFont="true" applyBorder="true" applyAlignment="true" applyProtection="false">
      <alignment horizontal="left" vertical="top" textRotation="0" wrapText="true" indent="0" shrinkToFit="false"/>
      <protection locked="true" hidden="false"/>
    </xf>
    <xf numFmtId="164" fontId="20" fillId="19" borderId="4" xfId="0" applyFont="true" applyBorder="true" applyAlignment="true" applyProtection="false">
      <alignment horizontal="left" vertical="top" textRotation="0" wrapText="true" indent="0" shrinkToFit="false"/>
      <protection locked="true" hidden="false"/>
    </xf>
    <xf numFmtId="164" fontId="20" fillId="20" borderId="4" xfId="0" applyFont="true" applyBorder="true" applyAlignment="true" applyProtection="false">
      <alignment horizontal="left" vertical="top" textRotation="0" wrapText="true" indent="0" shrinkToFit="false"/>
      <protection locked="true" hidden="false"/>
    </xf>
    <xf numFmtId="164" fontId="20" fillId="21" borderId="4" xfId="0" applyFont="true" applyBorder="true" applyAlignment="true" applyProtection="false">
      <alignment horizontal="left" vertical="top" textRotation="0" wrapText="true" indent="0" shrinkToFit="false"/>
      <protection locked="true" hidden="false"/>
    </xf>
    <xf numFmtId="164" fontId="18" fillId="22" borderId="0" xfId="0" applyFont="true" applyBorder="true" applyAlignment="true" applyProtection="false">
      <alignment horizontal="left" vertical="center" textRotation="0" wrapText="false" indent="0" shrinkToFit="false"/>
      <protection locked="true" hidden="false"/>
    </xf>
    <xf numFmtId="164" fontId="7" fillId="11" borderId="4" xfId="0" applyFont="true" applyBorder="true" applyAlignment="true" applyProtection="false">
      <alignment horizontal="left" vertical="top" textRotation="0" wrapText="true" indent="0" shrinkToFit="false"/>
      <protection locked="true" hidden="false"/>
    </xf>
    <xf numFmtId="164" fontId="20" fillId="11" borderId="4" xfId="0" applyFont="true" applyBorder="true" applyAlignment="true" applyProtection="false">
      <alignment horizontal="left" vertical="top" textRotation="0" wrapText="true" indent="0" shrinkToFit="false"/>
      <protection locked="true" hidden="false"/>
    </xf>
    <xf numFmtId="164" fontId="18" fillId="23" borderId="0" xfId="0" applyFont="true" applyBorder="true" applyAlignment="true" applyProtection="false">
      <alignment horizontal="left" vertical="center" textRotation="0" wrapText="false" indent="0" shrinkToFit="false"/>
      <protection locked="true" hidden="false"/>
    </xf>
    <xf numFmtId="164" fontId="7" fillId="24" borderId="4" xfId="0" applyFont="true" applyBorder="true" applyAlignment="true" applyProtection="false">
      <alignment horizontal="left" vertical="top" textRotation="0" wrapText="true" indent="0" shrinkToFit="false"/>
      <protection locked="true" hidden="false"/>
    </xf>
    <xf numFmtId="164" fontId="20" fillId="24" borderId="4" xfId="0" applyFont="true" applyBorder="true" applyAlignment="true" applyProtection="false">
      <alignment horizontal="left" vertical="top" textRotation="0" wrapText="true" indent="0" shrinkToFit="false"/>
      <protection locked="true" hidden="false"/>
    </xf>
    <xf numFmtId="164" fontId="20" fillId="25" borderId="4" xfId="0" applyFont="true" applyBorder="true" applyAlignment="true" applyProtection="false">
      <alignment horizontal="left" vertical="top" textRotation="0" wrapText="true" indent="0" shrinkToFit="false"/>
      <protection locked="true" hidden="false"/>
    </xf>
    <xf numFmtId="164" fontId="18" fillId="14" borderId="0" xfId="0" applyFont="true" applyBorder="true" applyAlignment="true" applyProtection="false">
      <alignment horizontal="left" vertical="center" textRotation="0" wrapText="false" indent="0" shrinkToFit="false"/>
      <protection locked="true" hidden="false"/>
    </xf>
    <xf numFmtId="164" fontId="7" fillId="17" borderId="4" xfId="0" applyFont="true" applyBorder="true" applyAlignment="true" applyProtection="false">
      <alignment horizontal="left" vertical="top" textRotation="0" wrapText="true" indent="0" shrinkToFit="false"/>
      <protection locked="true" hidden="false"/>
    </xf>
    <xf numFmtId="164" fontId="20" fillId="17" borderId="4" xfId="0" applyFont="true" applyBorder="true" applyAlignment="true" applyProtection="false">
      <alignment horizontal="left" vertical="top" textRotation="0" wrapText="true" indent="0" shrinkToFit="false"/>
      <protection locked="true" hidden="false"/>
    </xf>
    <xf numFmtId="164" fontId="20" fillId="6" borderId="4" xfId="0" applyFont="true" applyBorder="true" applyAlignment="true" applyProtection="false">
      <alignment horizontal="left" vertical="top" textRotation="0" wrapText="true" indent="0" shrinkToFit="false"/>
      <protection locked="true" hidden="false"/>
    </xf>
    <xf numFmtId="164" fontId="18" fillId="2" borderId="0" xfId="0" applyFont="true" applyBorder="true" applyAlignment="true" applyProtection="false">
      <alignment horizontal="left" vertical="center" textRotation="0" wrapText="false" indent="0" shrinkToFit="false"/>
      <protection locked="true" hidden="false"/>
    </xf>
    <xf numFmtId="164" fontId="0" fillId="0" borderId="4" xfId="0" applyFont="true" applyBorder="true" applyAlignment="true" applyProtection="false">
      <alignment horizontal="center" vertical="center" textRotation="0" wrapText="false" indent="0" shrinkToFit="false"/>
      <protection locked="true" hidden="false"/>
    </xf>
    <xf numFmtId="164" fontId="21" fillId="11" borderId="4" xfId="0" applyFont="true" applyBorder="true" applyAlignment="true" applyProtection="false">
      <alignment horizontal="left" vertical="top" textRotation="0" wrapText="true" indent="0" shrinkToFit="false"/>
      <protection locked="true" hidden="false"/>
    </xf>
    <xf numFmtId="164" fontId="22" fillId="10" borderId="4" xfId="0" applyFont="true" applyBorder="true" applyAlignment="true" applyProtection="false">
      <alignment horizontal="left" vertical="top" textRotation="0" wrapText="true" indent="0" shrinkToFit="false"/>
      <protection locked="true" hidden="false"/>
    </xf>
    <xf numFmtId="164" fontId="18" fillId="2" borderId="5" xfId="0" applyFont="true" applyBorder="true" applyAlignment="true" applyProtection="false">
      <alignment horizontal="center" vertical="center" textRotation="0" wrapText="false" indent="0" shrinkToFit="false"/>
      <protection locked="true" hidden="false"/>
    </xf>
    <xf numFmtId="164" fontId="18" fillId="12" borderId="5" xfId="0" applyFont="true" applyBorder="true" applyAlignment="true" applyProtection="false">
      <alignment horizontal="center" vertical="center" textRotation="0" wrapText="false" indent="0" shrinkToFit="false"/>
      <protection locked="true" hidden="false"/>
    </xf>
    <xf numFmtId="164" fontId="18" fillId="22" borderId="5" xfId="0" applyFont="true" applyBorder="true" applyAlignment="true" applyProtection="false">
      <alignment horizontal="center" vertical="center" textRotation="0" wrapText="false" indent="0" shrinkToFit="false"/>
      <protection locked="true" hidden="false"/>
    </xf>
    <xf numFmtId="164" fontId="18" fillId="7" borderId="5" xfId="0" applyFont="true" applyBorder="true" applyAlignment="true" applyProtection="false">
      <alignment horizontal="center" vertical="center" textRotation="0" wrapText="false" indent="0" shrinkToFit="false"/>
      <protection locked="true" hidden="false"/>
    </xf>
    <xf numFmtId="164" fontId="18" fillId="23" borderId="5" xfId="0" applyFont="true" applyBorder="true" applyAlignment="true" applyProtection="false">
      <alignment horizontal="center" vertical="center" textRotation="0" wrapText="false" indent="0" shrinkToFit="false"/>
      <protection locked="true" hidden="false"/>
    </xf>
    <xf numFmtId="164" fontId="18" fillId="14" borderId="5" xfId="0" applyFont="true" applyBorder="true" applyAlignment="true" applyProtection="false">
      <alignment horizontal="center" vertical="center" textRotation="0" wrapText="false" indent="0" shrinkToFit="false"/>
      <protection locked="true" hidden="false"/>
    </xf>
    <xf numFmtId="164" fontId="13" fillId="12" borderId="3" xfId="0" applyFont="true" applyBorder="true" applyAlignment="true" applyProtection="false">
      <alignment horizontal="center" vertical="center" textRotation="0" wrapText="true" indent="0" shrinkToFit="false"/>
      <protection locked="true" hidden="false"/>
    </xf>
    <xf numFmtId="164" fontId="13" fillId="22" borderId="3" xfId="0" applyFont="true" applyBorder="true" applyAlignment="true" applyProtection="false">
      <alignment horizontal="center" vertical="center" textRotation="0" wrapText="true" indent="0" shrinkToFit="false"/>
      <protection locked="true" hidden="false"/>
    </xf>
    <xf numFmtId="164" fontId="13" fillId="7" borderId="3" xfId="0" applyFont="true" applyBorder="true" applyAlignment="true" applyProtection="false">
      <alignment horizontal="center" vertical="center" textRotation="0" wrapText="true" indent="0" shrinkToFit="false"/>
      <protection locked="true" hidden="false"/>
    </xf>
    <xf numFmtId="164" fontId="13" fillId="23" borderId="3" xfId="0" applyFont="true" applyBorder="true" applyAlignment="true" applyProtection="false">
      <alignment horizontal="center" vertical="center" textRotation="0" wrapText="true" indent="0" shrinkToFit="false"/>
      <protection locked="true" hidden="false"/>
    </xf>
    <xf numFmtId="164" fontId="10" fillId="11" borderId="4" xfId="0" applyFont="true" applyBorder="true" applyAlignment="true" applyProtection="false">
      <alignment horizontal="center" vertical="center" textRotation="0" wrapText="false" indent="0" shrinkToFit="false"/>
      <protection locked="true" hidden="false"/>
    </xf>
    <xf numFmtId="164" fontId="10" fillId="8" borderId="4" xfId="0" applyFont="true" applyBorder="true" applyAlignment="true" applyProtection="false">
      <alignment horizontal="center" vertical="center" textRotation="0" wrapText="false" indent="0" shrinkToFit="false"/>
      <protection locked="true" hidden="false"/>
    </xf>
    <xf numFmtId="164" fontId="10" fillId="24" borderId="4" xfId="0" applyFont="true" applyBorder="true" applyAlignment="true" applyProtection="false">
      <alignment horizontal="center" vertical="center" textRotation="0" wrapText="false" indent="0" shrinkToFit="false"/>
      <protection locked="true" hidden="false"/>
    </xf>
    <xf numFmtId="164" fontId="0" fillId="16" borderId="1" xfId="0" applyFont="false" applyBorder="true" applyAlignment="true" applyProtection="false">
      <alignment horizontal="center" vertical="center" textRotation="0" wrapText="false" indent="0" shrinkToFit="false"/>
      <protection locked="true" hidden="false"/>
    </xf>
    <xf numFmtId="164" fontId="0" fillId="13" borderId="1" xfId="0" applyFont="false" applyBorder="true" applyAlignment="true" applyProtection="false">
      <alignment horizontal="center" vertical="center" textRotation="0" wrapText="false" indent="0" shrinkToFit="false"/>
      <protection locked="true" hidden="false"/>
    </xf>
    <xf numFmtId="164" fontId="0" fillId="11" borderId="1" xfId="0" applyFont="false" applyBorder="true" applyAlignment="true" applyProtection="false">
      <alignment horizontal="center" vertical="center" textRotation="0" wrapText="false" indent="0" shrinkToFit="false"/>
      <protection locked="true" hidden="false"/>
    </xf>
    <xf numFmtId="164" fontId="0" fillId="8" borderId="1" xfId="0" applyFont="false" applyBorder="true" applyAlignment="true" applyProtection="false">
      <alignment horizontal="center" vertical="center" textRotation="0" wrapText="false" indent="0" shrinkToFit="false"/>
      <protection locked="true" hidden="false"/>
    </xf>
    <xf numFmtId="164" fontId="0" fillId="24" borderId="1" xfId="0" applyFont="false" applyBorder="true" applyAlignment="true" applyProtection="false">
      <alignment horizontal="center" vertical="center" textRotation="0" wrapText="false" indent="0" shrinkToFit="false"/>
      <protection locked="true" hidden="false"/>
    </xf>
    <xf numFmtId="164" fontId="0" fillId="17" borderId="1" xfId="0" applyFont="false" applyBorder="true" applyAlignment="true" applyProtection="false">
      <alignment horizontal="center" vertical="center" textRotation="0" wrapText="false" indent="0" shrinkToFit="false"/>
      <protection locked="true" hidden="false"/>
    </xf>
    <xf numFmtId="164" fontId="13" fillId="2" borderId="3" xfId="0" applyFont="true" applyBorder="true" applyAlignment="true" applyProtection="false">
      <alignment horizontal="center" vertical="center" textRotation="0" wrapText="false" indent="0" shrinkToFit="false"/>
      <protection locked="true" hidden="false"/>
    </xf>
    <xf numFmtId="164" fontId="12" fillId="12" borderId="3" xfId="0" applyFont="true" applyBorder="true" applyAlignment="true" applyProtection="false">
      <alignment horizontal="center" vertical="center" textRotation="0" wrapText="true" indent="0" shrinkToFit="false"/>
      <protection locked="true" hidden="false"/>
    </xf>
    <xf numFmtId="164" fontId="12" fillId="22" borderId="3" xfId="0" applyFont="true" applyBorder="true" applyAlignment="true" applyProtection="false">
      <alignment horizontal="center" vertical="center" textRotation="0" wrapText="true" indent="0" shrinkToFit="false"/>
      <protection locked="true" hidden="false"/>
    </xf>
    <xf numFmtId="164" fontId="12" fillId="7" borderId="3" xfId="0" applyFont="true" applyBorder="true" applyAlignment="true" applyProtection="false">
      <alignment horizontal="center" vertical="center" textRotation="0" wrapText="true" indent="0" shrinkToFit="false"/>
      <protection locked="true" hidden="false"/>
    </xf>
    <xf numFmtId="164" fontId="12" fillId="23" borderId="3" xfId="0" applyFont="true" applyBorder="true" applyAlignment="true" applyProtection="false">
      <alignment horizontal="center" vertical="center" textRotation="0" wrapText="true" indent="0" shrinkToFit="false"/>
      <protection locked="true" hidden="false"/>
    </xf>
    <xf numFmtId="164" fontId="12" fillId="14" borderId="3" xfId="0" applyFont="true" applyBorder="true" applyAlignment="true" applyProtection="false">
      <alignment horizontal="center" vertical="center" textRotation="0" wrapText="true" indent="0" shrinkToFit="false"/>
      <protection locked="true" hidden="false"/>
    </xf>
    <xf numFmtId="164" fontId="7" fillId="16" borderId="4" xfId="0" applyFont="true" applyBorder="true" applyAlignment="true" applyProtection="false">
      <alignment horizontal="center" vertical="center" textRotation="0" wrapText="false" indent="0" shrinkToFit="false"/>
      <protection locked="true" hidden="false"/>
    </xf>
    <xf numFmtId="164" fontId="23" fillId="0" borderId="4" xfId="0" applyFont="true" applyBorder="true" applyAlignment="true" applyProtection="false">
      <alignment horizontal="center" vertical="center" textRotation="0" wrapText="false" indent="0" shrinkToFit="false"/>
      <protection locked="true" hidden="false"/>
    </xf>
    <xf numFmtId="167" fontId="24" fillId="0" borderId="4" xfId="0" applyFont="true" applyBorder="true" applyAlignment="true" applyProtection="false">
      <alignment horizontal="center" vertical="center" textRotation="0" wrapText="false" indent="0" shrinkToFit="false"/>
      <protection locked="true" hidden="false"/>
    </xf>
    <xf numFmtId="165" fontId="25" fillId="0" borderId="0" xfId="0" applyFont="true" applyBorder="false" applyAlignment="false" applyProtection="false">
      <alignment horizontal="general" vertical="bottom" textRotation="0" wrapText="false" indent="0" shrinkToFit="false"/>
      <protection locked="true" hidden="false"/>
    </xf>
    <xf numFmtId="164" fontId="26" fillId="3" borderId="6" xfId="0" applyFont="true" applyBorder="true" applyAlignment="true" applyProtection="false">
      <alignment horizontal="center" vertical="center" textRotation="0" wrapText="false" indent="0" shrinkToFit="false"/>
      <protection locked="true" hidden="false"/>
    </xf>
    <xf numFmtId="165" fontId="27" fillId="3" borderId="6" xfId="0" applyFont="true" applyBorder="true" applyAlignment="true" applyProtection="false">
      <alignment horizontal="center" vertical="center" textRotation="0" wrapText="false" indent="0" shrinkToFit="false"/>
      <protection locked="true" hidden="false"/>
    </xf>
    <xf numFmtId="165" fontId="28" fillId="3" borderId="6" xfId="0" applyFont="true" applyBorder="true" applyAlignment="true" applyProtection="false">
      <alignment horizontal="center" vertical="center" textRotation="0" wrapText="false" indent="0" shrinkToFit="false"/>
      <protection locked="true" hidden="false"/>
    </xf>
    <xf numFmtId="165" fontId="29" fillId="3" borderId="6" xfId="0" applyFont="true" applyBorder="true" applyAlignment="true" applyProtection="false">
      <alignment horizontal="center" vertical="center" textRotation="0" wrapText="false" indent="0" shrinkToFit="false"/>
      <protection locked="true" hidden="false"/>
    </xf>
    <xf numFmtId="165" fontId="30" fillId="3" borderId="6" xfId="0" applyFont="true" applyBorder="true" applyAlignment="true" applyProtection="false">
      <alignment horizontal="center" vertical="center" textRotation="0" wrapText="false" indent="0" shrinkToFit="false"/>
      <protection locked="true" hidden="false"/>
    </xf>
    <xf numFmtId="165" fontId="31" fillId="3" borderId="6" xfId="0" applyFont="true" applyBorder="true" applyAlignment="true" applyProtection="false">
      <alignment horizontal="center" vertical="center" textRotation="0" wrapText="false" indent="0" shrinkToFit="false"/>
      <protection locked="true" hidden="false"/>
    </xf>
    <xf numFmtId="165" fontId="32" fillId="3" borderId="6" xfId="0" applyFont="true" applyBorder="true" applyAlignment="true" applyProtection="false">
      <alignment horizontal="center" vertical="center" textRotation="0" wrapText="false" indent="0" shrinkToFit="false"/>
      <protection locked="true" hidden="false"/>
    </xf>
    <xf numFmtId="167" fontId="33" fillId="3" borderId="6" xfId="0" applyFont="true" applyBorder="true" applyAlignment="true" applyProtection="false">
      <alignment horizontal="center" vertical="center" textRotation="0" wrapText="false" indent="0" shrinkToFit="false"/>
      <protection locked="true" hidden="false"/>
    </xf>
    <xf numFmtId="164" fontId="18" fillId="7" borderId="0" xfId="0" applyFont="true" applyBorder="true" applyAlignment="true" applyProtection="false">
      <alignment horizontal="left" vertical="center" textRotation="0" wrapText="false" indent="0" shrinkToFit="false"/>
      <protection locked="true" hidden="false"/>
    </xf>
    <xf numFmtId="164" fontId="25" fillId="7" borderId="5" xfId="0" applyFont="true" applyBorder="true" applyAlignment="true" applyProtection="false">
      <alignment horizontal="center" vertical="center" textRotation="0" wrapText="true" indent="0" shrinkToFit="false"/>
      <protection locked="true" hidden="false"/>
    </xf>
    <xf numFmtId="168" fontId="34" fillId="8" borderId="7" xfId="0" applyFont="true" applyBorder="true" applyAlignment="true" applyProtection="false">
      <alignment horizontal="center" vertical="center" textRotation="0" wrapText="false" indent="0" shrinkToFit="false"/>
      <protection locked="true" hidden="false"/>
    </xf>
    <xf numFmtId="168" fontId="35" fillId="8" borderId="7" xfId="0" applyFont="true" applyBorder="true" applyAlignment="true" applyProtection="false">
      <alignment horizontal="center" vertical="center" textRotation="0" wrapText="false" indent="0" shrinkToFit="false"/>
      <protection locked="true" hidden="false"/>
    </xf>
    <xf numFmtId="167" fontId="36" fillId="8" borderId="7" xfId="0" applyFont="true" applyBorder="true" applyAlignment="true" applyProtection="false">
      <alignment horizontal="center" vertical="center" textRotation="0" wrapText="false" indent="0" shrinkToFit="false"/>
      <protection locked="true" hidden="false"/>
    </xf>
    <xf numFmtId="168" fontId="37" fillId="8" borderId="7" xfId="0" applyFont="true" applyBorder="tru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ont>
        <name val="Arial"/>
        <charset val="1"/>
        <family val="0"/>
        <b val="1"/>
        <color rgb="FF065F46"/>
        <sz val="9"/>
      </font>
      <fill>
        <patternFill>
          <bgColor rgb="FFD1FAE5"/>
        </patternFill>
      </fill>
    </dxf>
    <dxf>
      <font>
        <name val="Arial"/>
        <charset val="1"/>
        <family val="0"/>
        <b val="1"/>
        <color rgb="FF991B1B"/>
        <sz val="9"/>
      </font>
      <fill>
        <patternFill>
          <bgColor rgb="FFFEE2E2"/>
        </patternFill>
      </fill>
    </dxf>
  </dxfs>
  <colors>
    <indexedColors>
      <rgbColor rgb="FF000000"/>
      <rgbColor rgb="FFFFFFFF"/>
      <rgbColor rgb="FFF8FAFC"/>
      <rgbColor rgb="FFF0FDF4"/>
      <rgbColor rgb="FF0000FF"/>
      <rgbColor rgb="FFFFF7ED"/>
      <rgbColor rgb="FFF5F3FF"/>
      <rgbColor rgb="FFDBEAFE"/>
      <rgbColor rgb="FF991B1B"/>
      <rgbColor rgb="FF065F46"/>
      <rgbColor rgb="FF14532D"/>
      <rgbColor rgb="FFB45309"/>
      <rgbColor rgb="FF6D28D9"/>
      <rgbColor rgb="FF047857"/>
      <rgbColor rgb="FFD1D5DB"/>
      <rgbColor rgb="FF878787"/>
      <rgbColor rgb="FFA78BFA"/>
      <rgbColor rgb="FFC0504D"/>
      <rgbColor rgb="FFFEF3C7"/>
      <rgbColor rgb="FFCCFBF1"/>
      <rgbColor rgb="FF3B0764"/>
      <rgbColor rgb="FFF87171"/>
      <rgbColor rgb="FF1D4ED8"/>
      <rgbColor rgb="FFCBD5E1"/>
      <rgbColor rgb="FF000080"/>
      <rgbColor rgb="FFF1F5F9"/>
      <rgbColor rgb="FFF0FFF4"/>
      <rgbColor rgb="FFE0F2FE"/>
      <rgbColor rgb="FF8064A2"/>
      <rgbColor rgb="FFBE123C"/>
      <rgbColor rgb="FF0D9488"/>
      <rgbColor rgb="FF0000FF"/>
      <rgbColor rgb="FFEFF6FF"/>
      <rgbColor rgb="FFDCFCE7"/>
      <rgbColor rgb="FFD1FAE5"/>
      <rgbColor rgb="FFFFFBEB"/>
      <rgbColor rgb="FF99F6E4"/>
      <rgbColor rgb="FFF3E8FF"/>
      <rgbColor rgb="FFD9D9D9"/>
      <rgbColor rgb="FFFEE2E2"/>
      <rgbColor rgb="FF4F81BD"/>
      <rgbColor rgb="FF4BACC6"/>
      <rgbColor rgb="FF9BBB59"/>
      <rgbColor rgb="FFE2E8F0"/>
      <rgbColor rgb="FFF79646"/>
      <rgbColor rgb="FFD97706"/>
      <rgbColor rgb="FF64748B"/>
      <rgbColor rgb="FF94A3B8"/>
      <rgbColor rgb="FF134E4A"/>
      <rgbColor rgb="FF475569"/>
      <rgbColor rgb="FF0F172A"/>
      <rgbColor rgb="FF334155"/>
      <rgbColor rgb="FF92400E"/>
      <rgbColor rgb="FF78350F"/>
      <rgbColor rgb="FF1E3A8A"/>
      <rgbColor rgb="FF1E293B"/>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 Avg Story Points per Person — Agent Users vs Non-Users</a:t>
            </a:r>
          </a:p>
        </c:rich>
      </c:tx>
      <c:overlay val="0"/>
      <c:spPr>
        <a:noFill/>
        <a:ln w="0">
          <a:noFill/>
        </a:ln>
      </c:spPr>
    </c:title>
    <c:autoTitleDeleted val="0"/>
    <c:plotArea>
      <c:lineChart>
        <c:grouping val="standard"/>
        <c:varyColors val="0"/>
        <c:ser>
          <c:idx val="0"/>
          <c:order val="0"/>
          <c:tx>
            <c:strRef>
              <c:f>"Agent Users SP (total)"</c:f>
              <c:strCache>
                <c:ptCount val="1"/>
                <c:pt idx="0">
                  <c:v>Agent Users SP (total)</c:v>
                </c:pt>
              </c:strCache>
            </c:strRef>
          </c:tx>
          <c:spPr>
            <a:solidFill>
              <a:srgbClr val="0d9488"/>
            </a:solidFill>
            <a:ln w="24840">
              <a:solidFill>
                <a:srgbClr val="0d9488"/>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'Data Input'!$A$6:$A$25</c:f>
              <c:strCache>
                <c:ptCount val="20"/>
                <c:pt idx="0">
                  <c:v>2026-W14</c:v>
                </c:pt>
                <c:pt idx="1">
                  <c:v>2026-W15</c:v>
                </c:pt>
                <c:pt idx="2">
                  <c:v>2026-W16</c:v>
                </c:pt>
                <c:pt idx="3">
                  <c:v>2026-W17</c:v>
                </c:pt>
                <c:pt idx="4">
                  <c:v>2026-W18</c:v>
                </c:pt>
                <c:pt idx="5">
                  <c:v>2026-W19</c:v>
                </c:pt>
                <c:pt idx="6">
                  <c:v>2026-W20</c:v>
                </c:pt>
                <c:pt idx="7">
                  <c:v>2026-W21</c:v>
                </c:pt>
                <c:pt idx="8">
                  <c:v>2026-W22</c:v>
                </c:pt>
                <c:pt idx="9">
                  <c:v>2026-W23</c:v>
                </c:pt>
                <c:pt idx="10">
                  <c:v>2026-W24</c:v>
                </c:pt>
                <c:pt idx="11">
                  <c:v>2026-W25</c:v>
                </c:pt>
                <c:pt idx="12">
                  <c:v>2026-W26</c:v>
                </c:pt>
                <c:pt idx="13">
                  <c:v>2026-W27</c:v>
                </c:pt>
                <c:pt idx="14">
                  <c:v>2026-W28</c:v>
                </c:pt>
                <c:pt idx="15">
                  <c:v>2026-W29</c:v>
                </c:pt>
                <c:pt idx="16">
                  <c:v>2026-W30</c:v>
                </c:pt>
                <c:pt idx="17">
                  <c:v>2026-W31</c:v>
                </c:pt>
                <c:pt idx="18">
                  <c:v>2026-W32</c:v>
                </c:pt>
                <c:pt idx="19">
                  <c:v>2026-W33</c:v>
                </c:pt>
              </c:strCache>
            </c:strRef>
          </c:cat>
          <c:val>
            <c:numRef>
              <c:f>'Data Input'!$K$6:$K$25</c:f>
              <c:numCache>
                <c:formatCode>General</c:formatCode>
                <c:ptCount val="20"/>
                <c:pt idx="0">
                  <c:v>5</c:v>
                </c:pt>
                <c:pt idx="1">
                  <c:v>3</c:v>
                </c:pt>
                <c:pt idx="2">
                  <c:v>2</c:v>
                </c:pt>
                <c:pt idx="3">
                  <c:v>1</c:v>
                </c:pt>
              </c:numCache>
            </c:numRef>
          </c:val>
          <c:smooth val="1"/>
        </c:ser>
        <c:ser>
          <c:idx val="1"/>
          <c:order val="1"/>
          <c:tx>
            <c:strRef>
              <c:f>"Non-Users SP (total)"</c:f>
              <c:strCache>
                <c:ptCount val="1"/>
                <c:pt idx="0">
                  <c:v>Non-Users SP (total)</c:v>
                </c:pt>
              </c:strCache>
            </c:strRef>
          </c:tx>
          <c:spPr>
            <a:solidFill>
              <a:srgbClr val="475569"/>
            </a:solidFill>
            <a:ln w="24840">
              <a:solidFill>
                <a:srgbClr val="475569"/>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'Data Input'!$A$6:$A$25</c:f>
              <c:strCache>
                <c:ptCount val="20"/>
                <c:pt idx="0">
                  <c:v>2026-W14</c:v>
                </c:pt>
                <c:pt idx="1">
                  <c:v>2026-W15</c:v>
                </c:pt>
                <c:pt idx="2">
                  <c:v>2026-W16</c:v>
                </c:pt>
                <c:pt idx="3">
                  <c:v>2026-W17</c:v>
                </c:pt>
                <c:pt idx="4">
                  <c:v>2026-W18</c:v>
                </c:pt>
                <c:pt idx="5">
                  <c:v>2026-W19</c:v>
                </c:pt>
                <c:pt idx="6">
                  <c:v>2026-W20</c:v>
                </c:pt>
                <c:pt idx="7">
                  <c:v>2026-W21</c:v>
                </c:pt>
                <c:pt idx="8">
                  <c:v>2026-W22</c:v>
                </c:pt>
                <c:pt idx="9">
                  <c:v>2026-W23</c:v>
                </c:pt>
                <c:pt idx="10">
                  <c:v>2026-W24</c:v>
                </c:pt>
                <c:pt idx="11">
                  <c:v>2026-W25</c:v>
                </c:pt>
                <c:pt idx="12">
                  <c:v>2026-W26</c:v>
                </c:pt>
                <c:pt idx="13">
                  <c:v>2026-W27</c:v>
                </c:pt>
                <c:pt idx="14">
                  <c:v>2026-W28</c:v>
                </c:pt>
                <c:pt idx="15">
                  <c:v>2026-W29</c:v>
                </c:pt>
                <c:pt idx="16">
                  <c:v>2026-W30</c:v>
                </c:pt>
                <c:pt idx="17">
                  <c:v>2026-W31</c:v>
                </c:pt>
                <c:pt idx="18">
                  <c:v>2026-W32</c:v>
                </c:pt>
                <c:pt idx="19">
                  <c:v>2026-W33</c:v>
                </c:pt>
              </c:strCache>
            </c:strRef>
          </c:cat>
          <c:val>
            <c:numRef>
              <c:f>'Data Input'!$L$6:$L$25</c:f>
              <c:numCache>
                <c:formatCode>General</c:formatCode>
                <c:ptCount val="20"/>
                <c:pt idx="0">
                  <c:v>3</c:v>
                </c:pt>
                <c:pt idx="1">
                  <c:v>2</c:v>
                </c:pt>
                <c:pt idx="2">
                  <c:v>1</c:v>
                </c:pt>
                <c:pt idx="3">
                  <c:v>1</c:v>
                </c:pt>
              </c:numCache>
            </c:numRef>
          </c:val>
          <c:smooth val="1"/>
        </c:ser>
        <c:hiLowLines>
          <c:spPr>
            <a:ln w="0">
              <a:noFill/>
            </a:ln>
          </c:spPr>
        </c:hiLowLines>
        <c:marker val="0"/>
        <c:axId val="77531683"/>
        <c:axId val="75836211"/>
      </c:lineChart>
      <c:catAx>
        <c:axId val="77531683"/>
        <c:scaling>
          <c:orientation val="minMax"/>
        </c:scaling>
        <c:delete val="0"/>
        <c:axPos val="b"/>
        <c:numFmt formatCode="@" sourceLinked="0"/>
        <c:majorTickMark val="none"/>
        <c:minorTickMark val="none"/>
        <c:tickLblPos val="low"/>
        <c:spPr>
          <a:ln w="9360">
            <a:solidFill>
              <a:srgbClr val="878787"/>
            </a:solidFill>
            <a:round/>
          </a:ln>
        </c:spPr>
        <c:txPr>
          <a:bodyPr/>
          <a:lstStyle/>
          <a:p>
            <a:pPr>
              <a:defRPr b="0" sz="1000" spc="-1" strike="noStrike">
                <a:solidFill>
                  <a:srgbClr val="000000"/>
                </a:solidFill>
                <a:latin typeface="Calibri"/>
              </a:defRPr>
            </a:pPr>
          </a:p>
        </c:txPr>
        <c:crossAx val="75836211"/>
        <c:crosses val="autoZero"/>
        <c:auto val="1"/>
        <c:lblAlgn val="ctr"/>
        <c:lblOffset val="100"/>
        <c:noMultiLvlLbl val="0"/>
      </c:catAx>
      <c:valAx>
        <c:axId val="75836211"/>
        <c:scaling>
          <c:orientation val="minMax"/>
        </c:scaling>
        <c:delete val="0"/>
        <c:axPos val="l"/>
        <c:majorGridlines>
          <c:spPr>
            <a:ln w="9360">
              <a:solidFill>
                <a:srgbClr val="878787"/>
              </a:solidFill>
              <a:round/>
            </a:ln>
          </c:spPr>
        </c:majorGridlines>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7531683"/>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Invocations &amp; Tasks Completed</a:t>
            </a:r>
          </a:p>
        </c:rich>
      </c:tx>
      <c:overlay val="0"/>
      <c:spPr>
        <a:noFill/>
        <a:ln w="0">
          <a:noFill/>
        </a:ln>
      </c:spPr>
    </c:title>
    <c:autoTitleDeleted val="0"/>
    <c:plotArea>
      <c:barChart>
        <c:barDir val="col"/>
        <c:grouping val="clustered"/>
        <c:varyColors val="0"/>
        <c:ser>
          <c:idx val="0"/>
          <c:order val="0"/>
          <c:tx>
            <c:strRef>
              <c:f>"Invocations"</c:f>
              <c:strCache>
                <c:ptCount val="1"/>
                <c:pt idx="0">
                  <c:v>Invocations</c:v>
                </c:pt>
              </c:strCache>
            </c:strRef>
          </c:tx>
          <c:spPr>
            <a:solidFill>
              <a:srgbClr val="4f81bd"/>
            </a:solidFill>
            <a:ln w="24840">
              <a:solidFill>
                <a:srgbClr val="0d9488"/>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'Data Input'!$A$6:$A$25</c:f>
              <c:strCache>
                <c:ptCount val="20"/>
                <c:pt idx="0">
                  <c:v>2026-W14</c:v>
                </c:pt>
                <c:pt idx="1">
                  <c:v>2026-W15</c:v>
                </c:pt>
                <c:pt idx="2">
                  <c:v>2026-W16</c:v>
                </c:pt>
                <c:pt idx="3">
                  <c:v>2026-W17</c:v>
                </c:pt>
                <c:pt idx="4">
                  <c:v>2026-W18</c:v>
                </c:pt>
                <c:pt idx="5">
                  <c:v>2026-W19</c:v>
                </c:pt>
                <c:pt idx="6">
                  <c:v>2026-W20</c:v>
                </c:pt>
                <c:pt idx="7">
                  <c:v>2026-W21</c:v>
                </c:pt>
                <c:pt idx="8">
                  <c:v>2026-W22</c:v>
                </c:pt>
                <c:pt idx="9">
                  <c:v>2026-W23</c:v>
                </c:pt>
                <c:pt idx="10">
                  <c:v>2026-W24</c:v>
                </c:pt>
                <c:pt idx="11">
                  <c:v>2026-W25</c:v>
                </c:pt>
                <c:pt idx="12">
                  <c:v>2026-W26</c:v>
                </c:pt>
                <c:pt idx="13">
                  <c:v>2026-W27</c:v>
                </c:pt>
                <c:pt idx="14">
                  <c:v>2026-W28</c:v>
                </c:pt>
                <c:pt idx="15">
                  <c:v>2026-W29</c:v>
                </c:pt>
                <c:pt idx="16">
                  <c:v>2026-W30</c:v>
                </c:pt>
                <c:pt idx="17">
                  <c:v>2026-W31</c:v>
                </c:pt>
                <c:pt idx="18">
                  <c:v>2026-W32</c:v>
                </c:pt>
                <c:pt idx="19">
                  <c:v>2026-W33</c:v>
                </c:pt>
              </c:strCache>
            </c:strRef>
          </c:cat>
          <c:val>
            <c:numRef>
              <c:f>'Data Input'!$V$6:$V$25</c:f>
              <c:numCache>
                <c:formatCode>General</c:formatCode>
                <c:ptCount val="20"/>
                <c:pt idx="0">
                  <c:v>2</c:v>
                </c:pt>
                <c:pt idx="1">
                  <c:v>1</c:v>
                </c:pt>
                <c:pt idx="2">
                  <c:v>1</c:v>
                </c:pt>
                <c:pt idx="3">
                  <c:v>0</c:v>
                </c:pt>
              </c:numCache>
            </c:numRef>
          </c:val>
        </c:ser>
        <c:ser>
          <c:idx val="1"/>
          <c:order val="1"/>
          <c:tx>
            <c:strRef>
              <c:f>"Tasks Done"</c:f>
              <c:strCache>
                <c:ptCount val="1"/>
                <c:pt idx="0">
                  <c:v>Tasks Done</c:v>
                </c:pt>
              </c:strCache>
            </c:strRef>
          </c:tx>
          <c:spPr>
            <a:solidFill>
              <a:srgbClr val="c0504d"/>
            </a:solidFill>
            <a:ln w="24840">
              <a:solidFill>
                <a:srgbClr val="047857"/>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'Data Input'!$A$6:$A$25</c:f>
              <c:strCache>
                <c:ptCount val="20"/>
                <c:pt idx="0">
                  <c:v>2026-W14</c:v>
                </c:pt>
                <c:pt idx="1">
                  <c:v>2026-W15</c:v>
                </c:pt>
                <c:pt idx="2">
                  <c:v>2026-W16</c:v>
                </c:pt>
                <c:pt idx="3">
                  <c:v>2026-W17</c:v>
                </c:pt>
                <c:pt idx="4">
                  <c:v>2026-W18</c:v>
                </c:pt>
                <c:pt idx="5">
                  <c:v>2026-W19</c:v>
                </c:pt>
                <c:pt idx="6">
                  <c:v>2026-W20</c:v>
                </c:pt>
                <c:pt idx="7">
                  <c:v>2026-W21</c:v>
                </c:pt>
                <c:pt idx="8">
                  <c:v>2026-W22</c:v>
                </c:pt>
                <c:pt idx="9">
                  <c:v>2026-W23</c:v>
                </c:pt>
                <c:pt idx="10">
                  <c:v>2026-W24</c:v>
                </c:pt>
                <c:pt idx="11">
                  <c:v>2026-W25</c:v>
                </c:pt>
                <c:pt idx="12">
                  <c:v>2026-W26</c:v>
                </c:pt>
                <c:pt idx="13">
                  <c:v>2026-W27</c:v>
                </c:pt>
                <c:pt idx="14">
                  <c:v>2026-W28</c:v>
                </c:pt>
                <c:pt idx="15">
                  <c:v>2026-W29</c:v>
                </c:pt>
                <c:pt idx="16">
                  <c:v>2026-W30</c:v>
                </c:pt>
                <c:pt idx="17">
                  <c:v>2026-W31</c:v>
                </c:pt>
                <c:pt idx="18">
                  <c:v>2026-W32</c:v>
                </c:pt>
                <c:pt idx="19">
                  <c:v>2026-W33</c:v>
                </c:pt>
              </c:strCache>
            </c:strRef>
          </c:cat>
          <c:val>
            <c:numRef>
              <c:f>'Data Input'!$I$6:$I$25</c:f>
              <c:numCache>
                <c:formatCode>General</c:formatCode>
                <c:ptCount val="20"/>
                <c:pt idx="0">
                  <c:v>18</c:v>
                </c:pt>
                <c:pt idx="1">
                  <c:v>27</c:v>
                </c:pt>
                <c:pt idx="2">
                  <c:v>34</c:v>
                </c:pt>
                <c:pt idx="3">
                  <c:v>41</c:v>
                </c:pt>
              </c:numCache>
            </c:numRef>
          </c:val>
        </c:ser>
        <c:gapWidth val="150"/>
        <c:overlap val="0"/>
        <c:axId val="15387288"/>
        <c:axId val="64108675"/>
      </c:barChart>
      <c:catAx>
        <c:axId val="15387288"/>
        <c:scaling>
          <c:orientation val="minMax"/>
        </c:scaling>
        <c:delete val="0"/>
        <c:axPos val="b"/>
        <c:numFmt formatCode="@" sourceLinked="0"/>
        <c:majorTickMark val="none"/>
        <c:minorTickMark val="none"/>
        <c:tickLblPos val="low"/>
        <c:spPr>
          <a:ln w="9360">
            <a:solidFill>
              <a:srgbClr val="878787"/>
            </a:solidFill>
            <a:round/>
          </a:ln>
        </c:spPr>
        <c:txPr>
          <a:bodyPr/>
          <a:lstStyle/>
          <a:p>
            <a:pPr>
              <a:defRPr b="0" sz="1000" spc="-1" strike="noStrike">
                <a:solidFill>
                  <a:srgbClr val="000000"/>
                </a:solidFill>
                <a:latin typeface="Calibri"/>
              </a:defRPr>
            </a:pPr>
          </a:p>
        </c:txPr>
        <c:crossAx val="64108675"/>
        <c:crosses val="autoZero"/>
        <c:auto val="1"/>
        <c:lblAlgn val="ctr"/>
        <c:lblOffset val="100"/>
        <c:noMultiLvlLbl val="0"/>
      </c:catAx>
      <c:valAx>
        <c:axId val="64108675"/>
        <c:scaling>
          <c:orientation val="minMax"/>
        </c:scaling>
        <c:delete val="0"/>
        <c:axPos val="l"/>
        <c:majorGridlines>
          <c:spPr>
            <a:ln w="9360">
              <a:solidFill>
                <a:srgbClr val="878787"/>
              </a:solidFill>
              <a:round/>
            </a:ln>
          </c:spPr>
        </c:majorGridlines>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5387288"/>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Code Coverage % — Line &amp; Branch</a:t>
            </a:r>
          </a:p>
        </c:rich>
      </c:tx>
      <c:overlay val="0"/>
      <c:spPr>
        <a:noFill/>
        <a:ln w="0">
          <a:noFill/>
        </a:ln>
      </c:spPr>
    </c:title>
    <c:autoTitleDeleted val="0"/>
    <c:plotArea>
      <c:lineChart>
        <c:grouping val="standard"/>
        <c:varyColors val="0"/>
        <c:ser>
          <c:idx val="0"/>
          <c:order val="0"/>
          <c:tx>
            <c:strRef>
              <c:f>"Line Coverage"</c:f>
              <c:strCache>
                <c:ptCount val="1"/>
                <c:pt idx="0">
                  <c:v>Line Coverage</c:v>
                </c:pt>
              </c:strCache>
            </c:strRef>
          </c:tx>
          <c:spPr>
            <a:solidFill>
              <a:srgbClr val="6d28d9"/>
            </a:solidFill>
            <a:ln w="24840">
              <a:solidFill>
                <a:srgbClr val="6d28d9"/>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'Data Input'!$A$6:$A$25</c:f>
              <c:strCache>
                <c:ptCount val="20"/>
                <c:pt idx="0">
                  <c:v>2026-W14</c:v>
                </c:pt>
                <c:pt idx="1">
                  <c:v>2026-W15</c:v>
                </c:pt>
                <c:pt idx="2">
                  <c:v>2026-W16</c:v>
                </c:pt>
                <c:pt idx="3">
                  <c:v>2026-W17</c:v>
                </c:pt>
                <c:pt idx="4">
                  <c:v>2026-W18</c:v>
                </c:pt>
                <c:pt idx="5">
                  <c:v>2026-W19</c:v>
                </c:pt>
                <c:pt idx="6">
                  <c:v>2026-W20</c:v>
                </c:pt>
                <c:pt idx="7">
                  <c:v>2026-W21</c:v>
                </c:pt>
                <c:pt idx="8">
                  <c:v>2026-W22</c:v>
                </c:pt>
                <c:pt idx="9">
                  <c:v>2026-W23</c:v>
                </c:pt>
                <c:pt idx="10">
                  <c:v>2026-W24</c:v>
                </c:pt>
                <c:pt idx="11">
                  <c:v>2026-W25</c:v>
                </c:pt>
                <c:pt idx="12">
                  <c:v>2026-W26</c:v>
                </c:pt>
                <c:pt idx="13">
                  <c:v>2026-W27</c:v>
                </c:pt>
                <c:pt idx="14">
                  <c:v>2026-W28</c:v>
                </c:pt>
                <c:pt idx="15">
                  <c:v>2026-W29</c:v>
                </c:pt>
                <c:pt idx="16">
                  <c:v>2026-W30</c:v>
                </c:pt>
                <c:pt idx="17">
                  <c:v>2026-W31</c:v>
                </c:pt>
                <c:pt idx="18">
                  <c:v>2026-W32</c:v>
                </c:pt>
                <c:pt idx="19">
                  <c:v>2026-W33</c:v>
                </c:pt>
              </c:strCache>
            </c:strRef>
          </c:cat>
          <c:val>
            <c:numRef>
              <c:f>'Data Input'!$O$6:$O$25</c:f>
              <c:numCache>
                <c:formatCode>General</c:formatCode>
                <c:ptCount val="20"/>
                <c:pt idx="0">
                  <c:v>12</c:v>
                </c:pt>
                <c:pt idx="1">
                  <c:v>20</c:v>
                </c:pt>
                <c:pt idx="2">
                  <c:v>25</c:v>
                </c:pt>
                <c:pt idx="3">
                  <c:v>29</c:v>
                </c:pt>
              </c:numCache>
            </c:numRef>
          </c:val>
          <c:smooth val="1"/>
        </c:ser>
        <c:ser>
          <c:idx val="1"/>
          <c:order val="1"/>
          <c:tx>
            <c:strRef>
              <c:f>"Branch Coverage"</c:f>
              <c:strCache>
                <c:ptCount val="1"/>
                <c:pt idx="0">
                  <c:v>Branch Coverage</c:v>
                </c:pt>
              </c:strCache>
            </c:strRef>
          </c:tx>
          <c:spPr>
            <a:solidFill>
              <a:srgbClr val="a78bfa"/>
            </a:solidFill>
            <a:ln w="24840">
              <a:solidFill>
                <a:srgbClr val="a78bfa"/>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'Data Input'!$A$6:$A$25</c:f>
              <c:strCache>
                <c:ptCount val="20"/>
                <c:pt idx="0">
                  <c:v>2026-W14</c:v>
                </c:pt>
                <c:pt idx="1">
                  <c:v>2026-W15</c:v>
                </c:pt>
                <c:pt idx="2">
                  <c:v>2026-W16</c:v>
                </c:pt>
                <c:pt idx="3">
                  <c:v>2026-W17</c:v>
                </c:pt>
                <c:pt idx="4">
                  <c:v>2026-W18</c:v>
                </c:pt>
                <c:pt idx="5">
                  <c:v>2026-W19</c:v>
                </c:pt>
                <c:pt idx="6">
                  <c:v>2026-W20</c:v>
                </c:pt>
                <c:pt idx="7">
                  <c:v>2026-W21</c:v>
                </c:pt>
                <c:pt idx="8">
                  <c:v>2026-W22</c:v>
                </c:pt>
                <c:pt idx="9">
                  <c:v>2026-W23</c:v>
                </c:pt>
                <c:pt idx="10">
                  <c:v>2026-W24</c:v>
                </c:pt>
                <c:pt idx="11">
                  <c:v>2026-W25</c:v>
                </c:pt>
                <c:pt idx="12">
                  <c:v>2026-W26</c:v>
                </c:pt>
                <c:pt idx="13">
                  <c:v>2026-W27</c:v>
                </c:pt>
                <c:pt idx="14">
                  <c:v>2026-W28</c:v>
                </c:pt>
                <c:pt idx="15">
                  <c:v>2026-W29</c:v>
                </c:pt>
                <c:pt idx="16">
                  <c:v>2026-W30</c:v>
                </c:pt>
                <c:pt idx="17">
                  <c:v>2026-W31</c:v>
                </c:pt>
                <c:pt idx="18">
                  <c:v>2026-W32</c:v>
                </c:pt>
                <c:pt idx="19">
                  <c:v>2026-W33</c:v>
                </c:pt>
              </c:strCache>
            </c:strRef>
          </c:cat>
          <c:val>
            <c:numRef>
              <c:f>'Data Input'!$P$6:$P$25</c:f>
              <c:numCache>
                <c:formatCode>General</c:formatCode>
                <c:ptCount val="20"/>
                <c:pt idx="0">
                  <c:v>6.2</c:v>
                </c:pt>
                <c:pt idx="1">
                  <c:v>5.8</c:v>
                </c:pt>
                <c:pt idx="2">
                  <c:v>5.1</c:v>
                </c:pt>
                <c:pt idx="3">
                  <c:v>4.3</c:v>
                </c:pt>
              </c:numCache>
            </c:numRef>
          </c:val>
          <c:smooth val="1"/>
        </c:ser>
        <c:hiLowLines>
          <c:spPr>
            <a:ln w="0">
              <a:noFill/>
            </a:ln>
          </c:spPr>
        </c:hiLowLines>
        <c:marker val="0"/>
        <c:axId val="88823851"/>
        <c:axId val="94011325"/>
      </c:lineChart>
      <c:catAx>
        <c:axId val="88823851"/>
        <c:scaling>
          <c:orientation val="minMax"/>
        </c:scaling>
        <c:delete val="0"/>
        <c:axPos val="b"/>
        <c:numFmt formatCode="@" sourceLinked="0"/>
        <c:majorTickMark val="none"/>
        <c:minorTickMark val="none"/>
        <c:tickLblPos val="low"/>
        <c:spPr>
          <a:ln w="9360">
            <a:solidFill>
              <a:srgbClr val="878787"/>
            </a:solidFill>
            <a:round/>
          </a:ln>
        </c:spPr>
        <c:txPr>
          <a:bodyPr/>
          <a:lstStyle/>
          <a:p>
            <a:pPr>
              <a:defRPr b="0" sz="1000" spc="-1" strike="noStrike">
                <a:solidFill>
                  <a:srgbClr val="000000"/>
                </a:solidFill>
                <a:latin typeface="Calibri"/>
              </a:defRPr>
            </a:pPr>
          </a:p>
        </c:txPr>
        <c:crossAx val="94011325"/>
        <c:crosses val="autoZero"/>
        <c:auto val="1"/>
        <c:lblAlgn val="ctr"/>
        <c:lblOffset val="100"/>
        <c:noMultiLvlLbl val="0"/>
      </c:catAx>
      <c:valAx>
        <c:axId val="94011325"/>
        <c:scaling>
          <c:orientation val="minMax"/>
        </c:scaling>
        <c:delete val="0"/>
        <c:axPos val="l"/>
        <c:majorGridlines>
          <c:spPr>
            <a:ln w="9360">
              <a:solidFill>
                <a:srgbClr val="878787"/>
              </a:solidFill>
              <a:round/>
            </a:ln>
          </c:spPr>
        </c:majorGridlines>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8823851"/>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Quality Issues — Bugs &amp; Vulnerabilities</a:t>
            </a:r>
          </a:p>
        </c:rich>
      </c:tx>
      <c:overlay val="0"/>
      <c:spPr>
        <a:noFill/>
        <a:ln w="0">
          <a:noFill/>
        </a:ln>
      </c:spPr>
    </c:title>
    <c:autoTitleDeleted val="0"/>
    <c:plotArea>
      <c:lineChart>
        <c:grouping val="standard"/>
        <c:varyColors val="0"/>
        <c:ser>
          <c:idx val="0"/>
          <c:order val="0"/>
          <c:tx>
            <c:strRef>
              <c:f>"JIRA Bugs"</c:f>
              <c:strCache>
                <c:ptCount val="1"/>
                <c:pt idx="0">
                  <c:v>JIRA Bugs</c:v>
                </c:pt>
              </c:strCache>
            </c:strRef>
          </c:tx>
          <c:spPr>
            <a:solidFill>
              <a:srgbClr val="be123c"/>
            </a:solidFill>
            <a:ln w="24840">
              <a:solidFill>
                <a:srgbClr val="be123c"/>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'Data Input'!$A$6:$A$25</c:f>
              <c:strCache>
                <c:ptCount val="20"/>
                <c:pt idx="0">
                  <c:v>2026-W14</c:v>
                </c:pt>
                <c:pt idx="1">
                  <c:v>2026-W15</c:v>
                </c:pt>
                <c:pt idx="2">
                  <c:v>2026-W16</c:v>
                </c:pt>
                <c:pt idx="3">
                  <c:v>2026-W17</c:v>
                </c:pt>
                <c:pt idx="4">
                  <c:v>2026-W18</c:v>
                </c:pt>
                <c:pt idx="5">
                  <c:v>2026-W19</c:v>
                </c:pt>
                <c:pt idx="6">
                  <c:v>2026-W20</c:v>
                </c:pt>
                <c:pt idx="7">
                  <c:v>2026-W21</c:v>
                </c:pt>
                <c:pt idx="8">
                  <c:v>2026-W22</c:v>
                </c:pt>
                <c:pt idx="9">
                  <c:v>2026-W23</c:v>
                </c:pt>
                <c:pt idx="10">
                  <c:v>2026-W24</c:v>
                </c:pt>
                <c:pt idx="11">
                  <c:v>2026-W25</c:v>
                </c:pt>
                <c:pt idx="12">
                  <c:v>2026-W26</c:v>
                </c:pt>
                <c:pt idx="13">
                  <c:v>2026-W27</c:v>
                </c:pt>
                <c:pt idx="14">
                  <c:v>2026-W28</c:v>
                </c:pt>
                <c:pt idx="15">
                  <c:v>2026-W29</c:v>
                </c:pt>
                <c:pt idx="16">
                  <c:v>2026-W30</c:v>
                </c:pt>
                <c:pt idx="17">
                  <c:v>2026-W31</c:v>
                </c:pt>
                <c:pt idx="18">
                  <c:v>2026-W32</c:v>
                </c:pt>
                <c:pt idx="19">
                  <c:v>2026-W33</c:v>
                </c:pt>
              </c:strCache>
            </c:strRef>
          </c:cat>
          <c:val>
            <c:numRef>
              <c:f>'Data Input'!$M$6:$M$25</c:f>
              <c:numCache>
                <c:formatCode>General</c:formatCode>
                <c:ptCount val="20"/>
                <c:pt idx="0">
                  <c:v>2</c:v>
                </c:pt>
                <c:pt idx="1">
                  <c:v>1</c:v>
                </c:pt>
                <c:pt idx="2">
                  <c:v>1</c:v>
                </c:pt>
                <c:pt idx="3">
                  <c:v>0</c:v>
                </c:pt>
              </c:numCache>
            </c:numRef>
          </c:val>
          <c:smooth val="1"/>
        </c:ser>
        <c:ser>
          <c:idx val="1"/>
          <c:order val="1"/>
          <c:tx>
            <c:strRef>
              <c:f>"Sonar Bugs"</c:f>
              <c:strCache>
                <c:ptCount val="1"/>
                <c:pt idx="0">
                  <c:v>Sonar Bugs</c:v>
                </c:pt>
              </c:strCache>
            </c:strRef>
          </c:tx>
          <c:spPr>
            <a:solidFill>
              <a:srgbClr val="f87171"/>
            </a:solidFill>
            <a:ln w="24840">
              <a:solidFill>
                <a:srgbClr val="f87171"/>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'Data Input'!$A$6:$A$25</c:f>
              <c:strCache>
                <c:ptCount val="20"/>
                <c:pt idx="0">
                  <c:v>2026-W14</c:v>
                </c:pt>
                <c:pt idx="1">
                  <c:v>2026-W15</c:v>
                </c:pt>
                <c:pt idx="2">
                  <c:v>2026-W16</c:v>
                </c:pt>
                <c:pt idx="3">
                  <c:v>2026-W17</c:v>
                </c:pt>
                <c:pt idx="4">
                  <c:v>2026-W18</c:v>
                </c:pt>
                <c:pt idx="5">
                  <c:v>2026-W19</c:v>
                </c:pt>
                <c:pt idx="6">
                  <c:v>2026-W20</c:v>
                </c:pt>
                <c:pt idx="7">
                  <c:v>2026-W21</c:v>
                </c:pt>
                <c:pt idx="8">
                  <c:v>2026-W22</c:v>
                </c:pt>
                <c:pt idx="9">
                  <c:v>2026-W23</c:v>
                </c:pt>
                <c:pt idx="10">
                  <c:v>2026-W24</c:v>
                </c:pt>
                <c:pt idx="11">
                  <c:v>2026-W25</c:v>
                </c:pt>
                <c:pt idx="12">
                  <c:v>2026-W26</c:v>
                </c:pt>
                <c:pt idx="13">
                  <c:v>2026-W27</c:v>
                </c:pt>
                <c:pt idx="14">
                  <c:v>2026-W28</c:v>
                </c:pt>
                <c:pt idx="15">
                  <c:v>2026-W29</c:v>
                </c:pt>
                <c:pt idx="16">
                  <c:v>2026-W30</c:v>
                </c:pt>
                <c:pt idx="17">
                  <c:v>2026-W31</c:v>
                </c:pt>
                <c:pt idx="18">
                  <c:v>2026-W32</c:v>
                </c:pt>
                <c:pt idx="19">
                  <c:v>2026-W33</c:v>
                </c:pt>
              </c:strCache>
            </c:strRef>
          </c:cat>
          <c:val>
            <c:numRef>
              <c:f>'Data Input'!$Q$6:$Q$25</c:f>
              <c:numCache>
                <c:formatCode>General</c:formatCode>
                <c:ptCount val="20"/>
                <c:pt idx="0">
                  <c:v>71</c:v>
                </c:pt>
                <c:pt idx="1">
                  <c:v>75</c:v>
                </c:pt>
                <c:pt idx="2">
                  <c:v>81</c:v>
                </c:pt>
                <c:pt idx="3">
                  <c:v>87</c:v>
                </c:pt>
              </c:numCache>
            </c:numRef>
          </c:val>
          <c:smooth val="1"/>
        </c:ser>
        <c:ser>
          <c:idx val="2"/>
          <c:order val="2"/>
          <c:tx>
            <c:strRef>
              <c:f>"Vulnerabilities"</c:f>
              <c:strCache>
                <c:ptCount val="1"/>
                <c:pt idx="0">
                  <c:v>Vulnerabilities</c:v>
                </c:pt>
              </c:strCache>
            </c:strRef>
          </c:tx>
          <c:spPr>
            <a:solidFill>
              <a:srgbClr val="b45309"/>
            </a:solidFill>
            <a:ln w="24840">
              <a:solidFill>
                <a:srgbClr val="b45309"/>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'Data Input'!$A$6:$A$25</c:f>
              <c:strCache>
                <c:ptCount val="20"/>
                <c:pt idx="0">
                  <c:v>2026-W14</c:v>
                </c:pt>
                <c:pt idx="1">
                  <c:v>2026-W15</c:v>
                </c:pt>
                <c:pt idx="2">
                  <c:v>2026-W16</c:v>
                </c:pt>
                <c:pt idx="3">
                  <c:v>2026-W17</c:v>
                </c:pt>
                <c:pt idx="4">
                  <c:v>2026-W18</c:v>
                </c:pt>
                <c:pt idx="5">
                  <c:v>2026-W19</c:v>
                </c:pt>
                <c:pt idx="6">
                  <c:v>2026-W20</c:v>
                </c:pt>
                <c:pt idx="7">
                  <c:v>2026-W21</c:v>
                </c:pt>
                <c:pt idx="8">
                  <c:v>2026-W22</c:v>
                </c:pt>
                <c:pt idx="9">
                  <c:v>2026-W23</c:v>
                </c:pt>
                <c:pt idx="10">
                  <c:v>2026-W24</c:v>
                </c:pt>
                <c:pt idx="11">
                  <c:v>2026-W25</c:v>
                </c:pt>
                <c:pt idx="12">
                  <c:v>2026-W26</c:v>
                </c:pt>
                <c:pt idx="13">
                  <c:v>2026-W27</c:v>
                </c:pt>
                <c:pt idx="14">
                  <c:v>2026-W28</c:v>
                </c:pt>
                <c:pt idx="15">
                  <c:v>2026-W29</c:v>
                </c:pt>
                <c:pt idx="16">
                  <c:v>2026-W30</c:v>
                </c:pt>
                <c:pt idx="17">
                  <c:v>2026-W31</c:v>
                </c:pt>
                <c:pt idx="18">
                  <c:v>2026-W32</c:v>
                </c:pt>
                <c:pt idx="19">
                  <c:v>2026-W33</c:v>
                </c:pt>
              </c:strCache>
            </c:strRef>
          </c:cat>
          <c:val>
            <c:numRef>
              <c:f>'Data Input'!$R$6:$R$25</c:f>
              <c:numCache>
                <c:formatCode>General</c:formatCode>
                <c:ptCount val="20"/>
                <c:pt idx="0">
                  <c:v>68</c:v>
                </c:pt>
                <c:pt idx="1">
                  <c:v>72</c:v>
                </c:pt>
                <c:pt idx="2">
                  <c:v>78</c:v>
                </c:pt>
                <c:pt idx="3">
                  <c:v>84</c:v>
                </c:pt>
              </c:numCache>
            </c:numRef>
          </c:val>
          <c:smooth val="1"/>
        </c:ser>
        <c:hiLowLines>
          <c:spPr>
            <a:ln w="0">
              <a:noFill/>
            </a:ln>
          </c:spPr>
        </c:hiLowLines>
        <c:marker val="0"/>
        <c:axId val="8955269"/>
        <c:axId val="30769413"/>
      </c:lineChart>
      <c:catAx>
        <c:axId val="8955269"/>
        <c:scaling>
          <c:orientation val="minMax"/>
        </c:scaling>
        <c:delete val="0"/>
        <c:axPos val="b"/>
        <c:numFmt formatCode="@" sourceLinked="0"/>
        <c:majorTickMark val="none"/>
        <c:minorTickMark val="none"/>
        <c:tickLblPos val="low"/>
        <c:spPr>
          <a:ln w="9360">
            <a:solidFill>
              <a:srgbClr val="878787"/>
            </a:solidFill>
            <a:round/>
          </a:ln>
        </c:spPr>
        <c:txPr>
          <a:bodyPr/>
          <a:lstStyle/>
          <a:p>
            <a:pPr>
              <a:defRPr b="0" sz="1000" spc="-1" strike="noStrike">
                <a:solidFill>
                  <a:srgbClr val="000000"/>
                </a:solidFill>
                <a:latin typeface="Calibri"/>
              </a:defRPr>
            </a:pPr>
          </a:p>
        </c:txPr>
        <c:crossAx val="30769413"/>
        <c:crosses val="autoZero"/>
        <c:auto val="1"/>
        <c:lblAlgn val="ctr"/>
        <c:lblOffset val="100"/>
        <c:noMultiLvlLbl val="0"/>
      </c:catAx>
      <c:valAx>
        <c:axId val="30769413"/>
        <c:scaling>
          <c:orientation val="minMax"/>
        </c:scaling>
        <c:delete val="0"/>
        <c:axPos val="l"/>
        <c:majorGridlines>
          <c:spPr>
            <a:ln w="9360">
              <a:solidFill>
                <a:srgbClr val="878787"/>
              </a:solidFill>
              <a:round/>
            </a:ln>
          </c:spPr>
        </c:majorGridlines>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955269"/>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Agent Invocations by Type</a:t>
            </a:r>
          </a:p>
        </c:rich>
      </c:tx>
      <c:overlay val="0"/>
      <c:spPr>
        <a:noFill/>
        <a:ln w="0">
          <a:noFill/>
        </a:ln>
      </c:spPr>
    </c:title>
    <c:autoTitleDeleted val="0"/>
    <c:plotArea>
      <c:barChart>
        <c:barDir val="col"/>
        <c:grouping val="stacked"/>
        <c:varyColors val="0"/>
        <c:ser>
          <c:idx val="0"/>
          <c:order val="0"/>
          <c:tx>
            <c:strRef>
              <c:f>"Orchestrator"</c:f>
              <c:strCache>
                <c:ptCount val="1"/>
                <c:pt idx="0">
                  <c:v>Orchestrator</c:v>
                </c:pt>
              </c:strCache>
            </c:strRef>
          </c:tx>
          <c:spPr>
            <a:solidFill>
              <a:srgbClr val="4f81bd"/>
            </a:solidFill>
            <a:ln w="24840">
              <a:solidFill>
                <a:srgbClr val="0d9488"/>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'Data Input'!$A$6:$A$25</c:f>
              <c:strCache>
                <c:ptCount val="20"/>
                <c:pt idx="0">
                  <c:v>2026-W14</c:v>
                </c:pt>
                <c:pt idx="1">
                  <c:v>2026-W15</c:v>
                </c:pt>
                <c:pt idx="2">
                  <c:v>2026-W16</c:v>
                </c:pt>
                <c:pt idx="3">
                  <c:v>2026-W17</c:v>
                </c:pt>
                <c:pt idx="4">
                  <c:v>2026-W18</c:v>
                </c:pt>
                <c:pt idx="5">
                  <c:v>2026-W19</c:v>
                </c:pt>
                <c:pt idx="6">
                  <c:v>2026-W20</c:v>
                </c:pt>
                <c:pt idx="7">
                  <c:v>2026-W21</c:v>
                </c:pt>
                <c:pt idx="8">
                  <c:v>2026-W22</c:v>
                </c:pt>
                <c:pt idx="9">
                  <c:v>2026-W23</c:v>
                </c:pt>
                <c:pt idx="10">
                  <c:v>2026-W24</c:v>
                </c:pt>
                <c:pt idx="11">
                  <c:v>2026-W25</c:v>
                </c:pt>
                <c:pt idx="12">
                  <c:v>2026-W26</c:v>
                </c:pt>
                <c:pt idx="13">
                  <c:v>2026-W27</c:v>
                </c:pt>
                <c:pt idx="14">
                  <c:v>2026-W28</c:v>
                </c:pt>
                <c:pt idx="15">
                  <c:v>2026-W29</c:v>
                </c:pt>
                <c:pt idx="16">
                  <c:v>2026-W30</c:v>
                </c:pt>
                <c:pt idx="17">
                  <c:v>2026-W31</c:v>
                </c:pt>
                <c:pt idx="18">
                  <c:v>2026-W32</c:v>
                </c:pt>
                <c:pt idx="19">
                  <c:v>2026-W33</c:v>
                </c:pt>
              </c:strCache>
            </c:strRef>
          </c:cat>
          <c:val>
            <c:numRef>
              <c:f>'Data Input'!$W$6:$W$25</c:f>
              <c:numCache>
                <c:formatCode>General</c:formatCode>
                <c:ptCount val="20"/>
              </c:numCache>
            </c:numRef>
          </c:val>
        </c:ser>
        <c:ser>
          <c:idx val="1"/>
          <c:order val="1"/>
          <c:tx>
            <c:strRef>
              <c:f>"Backend"</c:f>
              <c:strCache>
                <c:ptCount val="1"/>
                <c:pt idx="0">
                  <c:v>Backend</c:v>
                </c:pt>
              </c:strCache>
            </c:strRef>
          </c:tx>
          <c:spPr>
            <a:solidFill>
              <a:srgbClr val="c0504d"/>
            </a:solidFill>
            <a:ln w="24840">
              <a:solidFill>
                <a:srgbClr val="1d4ed8"/>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'Data Input'!$A$6:$A$25</c:f>
              <c:strCache>
                <c:ptCount val="20"/>
                <c:pt idx="0">
                  <c:v>2026-W14</c:v>
                </c:pt>
                <c:pt idx="1">
                  <c:v>2026-W15</c:v>
                </c:pt>
                <c:pt idx="2">
                  <c:v>2026-W16</c:v>
                </c:pt>
                <c:pt idx="3">
                  <c:v>2026-W17</c:v>
                </c:pt>
                <c:pt idx="4">
                  <c:v>2026-W18</c:v>
                </c:pt>
                <c:pt idx="5">
                  <c:v>2026-W19</c:v>
                </c:pt>
                <c:pt idx="6">
                  <c:v>2026-W20</c:v>
                </c:pt>
                <c:pt idx="7">
                  <c:v>2026-W21</c:v>
                </c:pt>
                <c:pt idx="8">
                  <c:v>2026-W22</c:v>
                </c:pt>
                <c:pt idx="9">
                  <c:v>2026-W23</c:v>
                </c:pt>
                <c:pt idx="10">
                  <c:v>2026-W24</c:v>
                </c:pt>
                <c:pt idx="11">
                  <c:v>2026-W25</c:v>
                </c:pt>
                <c:pt idx="12">
                  <c:v>2026-W26</c:v>
                </c:pt>
                <c:pt idx="13">
                  <c:v>2026-W27</c:v>
                </c:pt>
                <c:pt idx="14">
                  <c:v>2026-W28</c:v>
                </c:pt>
                <c:pt idx="15">
                  <c:v>2026-W29</c:v>
                </c:pt>
                <c:pt idx="16">
                  <c:v>2026-W30</c:v>
                </c:pt>
                <c:pt idx="17">
                  <c:v>2026-W31</c:v>
                </c:pt>
                <c:pt idx="18">
                  <c:v>2026-W32</c:v>
                </c:pt>
                <c:pt idx="19">
                  <c:v>2026-W33</c:v>
                </c:pt>
              </c:strCache>
            </c:strRef>
          </c:cat>
          <c:val>
            <c:numRef>
              <c:f>'Data Input'!$X$6:$X$25</c:f>
              <c:numCache>
                <c:formatCode>General</c:formatCode>
                <c:ptCount val="20"/>
                <c:pt idx="0">
                  <c:v>42</c:v>
                </c:pt>
                <c:pt idx="1">
                  <c:v>61</c:v>
                </c:pt>
                <c:pt idx="2">
                  <c:v>78</c:v>
                </c:pt>
                <c:pt idx="3">
                  <c:v>94</c:v>
                </c:pt>
              </c:numCache>
            </c:numRef>
          </c:val>
        </c:ser>
        <c:ser>
          <c:idx val="2"/>
          <c:order val="2"/>
          <c:tx>
            <c:strRef>
              <c:f>"Frontend"</c:f>
              <c:strCache>
                <c:ptCount val="1"/>
                <c:pt idx="0">
                  <c:v>Frontend</c:v>
                </c:pt>
              </c:strCache>
            </c:strRef>
          </c:tx>
          <c:spPr>
            <a:solidFill>
              <a:srgbClr val="9bbb59"/>
            </a:solidFill>
            <a:ln w="24840">
              <a:solidFill>
                <a:srgbClr val="6d28d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'Data Input'!$A$6:$A$25</c:f>
              <c:strCache>
                <c:ptCount val="20"/>
                <c:pt idx="0">
                  <c:v>2026-W14</c:v>
                </c:pt>
                <c:pt idx="1">
                  <c:v>2026-W15</c:v>
                </c:pt>
                <c:pt idx="2">
                  <c:v>2026-W16</c:v>
                </c:pt>
                <c:pt idx="3">
                  <c:v>2026-W17</c:v>
                </c:pt>
                <c:pt idx="4">
                  <c:v>2026-W18</c:v>
                </c:pt>
                <c:pt idx="5">
                  <c:v>2026-W19</c:v>
                </c:pt>
                <c:pt idx="6">
                  <c:v>2026-W20</c:v>
                </c:pt>
                <c:pt idx="7">
                  <c:v>2026-W21</c:v>
                </c:pt>
                <c:pt idx="8">
                  <c:v>2026-W22</c:v>
                </c:pt>
                <c:pt idx="9">
                  <c:v>2026-W23</c:v>
                </c:pt>
                <c:pt idx="10">
                  <c:v>2026-W24</c:v>
                </c:pt>
                <c:pt idx="11">
                  <c:v>2026-W25</c:v>
                </c:pt>
                <c:pt idx="12">
                  <c:v>2026-W26</c:v>
                </c:pt>
                <c:pt idx="13">
                  <c:v>2026-W27</c:v>
                </c:pt>
                <c:pt idx="14">
                  <c:v>2026-W28</c:v>
                </c:pt>
                <c:pt idx="15">
                  <c:v>2026-W29</c:v>
                </c:pt>
                <c:pt idx="16">
                  <c:v>2026-W30</c:v>
                </c:pt>
                <c:pt idx="17">
                  <c:v>2026-W31</c:v>
                </c:pt>
                <c:pt idx="18">
                  <c:v>2026-W32</c:v>
                </c:pt>
                <c:pt idx="19">
                  <c:v>2026-W33</c:v>
                </c:pt>
              </c:strCache>
            </c:strRef>
          </c:cat>
          <c:val>
            <c:numRef>
              <c:f>'Data Input'!$Y$6:$Y$25</c:f>
              <c:numCache>
                <c:formatCode>General</c:formatCode>
                <c:ptCount val="20"/>
                <c:pt idx="0">
                  <c:v>8</c:v>
                </c:pt>
                <c:pt idx="1">
                  <c:v>12</c:v>
                </c:pt>
                <c:pt idx="2">
                  <c:v>15</c:v>
                </c:pt>
                <c:pt idx="3">
                  <c:v>18</c:v>
                </c:pt>
              </c:numCache>
            </c:numRef>
          </c:val>
        </c:ser>
        <c:ser>
          <c:idx val="3"/>
          <c:order val="3"/>
          <c:tx>
            <c:strRef>
              <c:f>"QA"</c:f>
              <c:strCache>
                <c:ptCount val="1"/>
                <c:pt idx="0">
                  <c:v>QA</c:v>
                </c:pt>
              </c:strCache>
            </c:strRef>
          </c:tx>
          <c:spPr>
            <a:solidFill>
              <a:srgbClr val="8064a2"/>
            </a:solidFill>
            <a:ln w="24840">
              <a:solidFill>
                <a:srgbClr val="047857"/>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'Data Input'!$A$6:$A$25</c:f>
              <c:strCache>
                <c:ptCount val="20"/>
                <c:pt idx="0">
                  <c:v>2026-W14</c:v>
                </c:pt>
                <c:pt idx="1">
                  <c:v>2026-W15</c:v>
                </c:pt>
                <c:pt idx="2">
                  <c:v>2026-W16</c:v>
                </c:pt>
                <c:pt idx="3">
                  <c:v>2026-W17</c:v>
                </c:pt>
                <c:pt idx="4">
                  <c:v>2026-W18</c:v>
                </c:pt>
                <c:pt idx="5">
                  <c:v>2026-W19</c:v>
                </c:pt>
                <c:pt idx="6">
                  <c:v>2026-W20</c:v>
                </c:pt>
                <c:pt idx="7">
                  <c:v>2026-W21</c:v>
                </c:pt>
                <c:pt idx="8">
                  <c:v>2026-W22</c:v>
                </c:pt>
                <c:pt idx="9">
                  <c:v>2026-W23</c:v>
                </c:pt>
                <c:pt idx="10">
                  <c:v>2026-W24</c:v>
                </c:pt>
                <c:pt idx="11">
                  <c:v>2026-W25</c:v>
                </c:pt>
                <c:pt idx="12">
                  <c:v>2026-W26</c:v>
                </c:pt>
                <c:pt idx="13">
                  <c:v>2026-W27</c:v>
                </c:pt>
                <c:pt idx="14">
                  <c:v>2026-W28</c:v>
                </c:pt>
                <c:pt idx="15">
                  <c:v>2026-W29</c:v>
                </c:pt>
                <c:pt idx="16">
                  <c:v>2026-W30</c:v>
                </c:pt>
                <c:pt idx="17">
                  <c:v>2026-W31</c:v>
                </c:pt>
                <c:pt idx="18">
                  <c:v>2026-W32</c:v>
                </c:pt>
                <c:pt idx="19">
                  <c:v>2026-W33</c:v>
                </c:pt>
              </c:strCache>
            </c:strRef>
          </c:cat>
          <c:val>
            <c:numRef>
              <c:f>'Data Input'!$Z$6:$Z$25</c:f>
              <c:numCache>
                <c:formatCode>General</c:formatCode>
                <c:ptCount val="20"/>
                <c:pt idx="0">
                  <c:v>10</c:v>
                </c:pt>
                <c:pt idx="1">
                  <c:v>14</c:v>
                </c:pt>
                <c:pt idx="2">
                  <c:v>18</c:v>
                </c:pt>
                <c:pt idx="3">
                  <c:v>22</c:v>
                </c:pt>
              </c:numCache>
            </c:numRef>
          </c:val>
        </c:ser>
        <c:ser>
          <c:idx val="4"/>
          <c:order val="4"/>
          <c:tx>
            <c:strRef>
              <c:f>"Security"</c:f>
              <c:strCache>
                <c:ptCount val="1"/>
                <c:pt idx="0">
                  <c:v>Security</c:v>
                </c:pt>
              </c:strCache>
            </c:strRef>
          </c:tx>
          <c:spPr>
            <a:solidFill>
              <a:srgbClr val="4bacc6"/>
            </a:solidFill>
            <a:ln w="24840">
              <a:solidFill>
                <a:srgbClr val="be123c"/>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'Data Input'!$A$6:$A$25</c:f>
              <c:strCache>
                <c:ptCount val="20"/>
                <c:pt idx="0">
                  <c:v>2026-W14</c:v>
                </c:pt>
                <c:pt idx="1">
                  <c:v>2026-W15</c:v>
                </c:pt>
                <c:pt idx="2">
                  <c:v>2026-W16</c:v>
                </c:pt>
                <c:pt idx="3">
                  <c:v>2026-W17</c:v>
                </c:pt>
                <c:pt idx="4">
                  <c:v>2026-W18</c:v>
                </c:pt>
                <c:pt idx="5">
                  <c:v>2026-W19</c:v>
                </c:pt>
                <c:pt idx="6">
                  <c:v>2026-W20</c:v>
                </c:pt>
                <c:pt idx="7">
                  <c:v>2026-W21</c:v>
                </c:pt>
                <c:pt idx="8">
                  <c:v>2026-W22</c:v>
                </c:pt>
                <c:pt idx="9">
                  <c:v>2026-W23</c:v>
                </c:pt>
                <c:pt idx="10">
                  <c:v>2026-W24</c:v>
                </c:pt>
                <c:pt idx="11">
                  <c:v>2026-W25</c:v>
                </c:pt>
                <c:pt idx="12">
                  <c:v>2026-W26</c:v>
                </c:pt>
                <c:pt idx="13">
                  <c:v>2026-W27</c:v>
                </c:pt>
                <c:pt idx="14">
                  <c:v>2026-W28</c:v>
                </c:pt>
                <c:pt idx="15">
                  <c:v>2026-W29</c:v>
                </c:pt>
                <c:pt idx="16">
                  <c:v>2026-W30</c:v>
                </c:pt>
                <c:pt idx="17">
                  <c:v>2026-W31</c:v>
                </c:pt>
                <c:pt idx="18">
                  <c:v>2026-W32</c:v>
                </c:pt>
                <c:pt idx="19">
                  <c:v>2026-W33</c:v>
                </c:pt>
              </c:strCache>
            </c:strRef>
          </c:cat>
          <c:val>
            <c:numRef>
              <c:f>'Data Input'!$AA$6:$AA$25</c:f>
              <c:numCache>
                <c:formatCode>General</c:formatCode>
                <c:ptCount val="20"/>
                <c:pt idx="0">
                  <c:v>7</c:v>
                </c:pt>
                <c:pt idx="1">
                  <c:v>10</c:v>
                </c:pt>
                <c:pt idx="2">
                  <c:v>13</c:v>
                </c:pt>
                <c:pt idx="3">
                  <c:v>16</c:v>
                </c:pt>
              </c:numCache>
            </c:numRef>
          </c:val>
        </c:ser>
        <c:ser>
          <c:idx val="5"/>
          <c:order val="5"/>
          <c:tx>
            <c:strRef>
              <c:f>"Reviewer"</c:f>
              <c:strCache>
                <c:ptCount val="1"/>
                <c:pt idx="0">
                  <c:v>Reviewer</c:v>
                </c:pt>
              </c:strCache>
            </c:strRef>
          </c:tx>
          <c:spPr>
            <a:solidFill>
              <a:srgbClr val="f79646"/>
            </a:solidFill>
            <a:ln w="24840">
              <a:solidFill>
                <a:srgbClr val="b4530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'Data Input'!$A$6:$A$25</c:f>
              <c:strCache>
                <c:ptCount val="20"/>
                <c:pt idx="0">
                  <c:v>2026-W14</c:v>
                </c:pt>
                <c:pt idx="1">
                  <c:v>2026-W15</c:v>
                </c:pt>
                <c:pt idx="2">
                  <c:v>2026-W16</c:v>
                </c:pt>
                <c:pt idx="3">
                  <c:v>2026-W17</c:v>
                </c:pt>
                <c:pt idx="4">
                  <c:v>2026-W18</c:v>
                </c:pt>
                <c:pt idx="5">
                  <c:v>2026-W19</c:v>
                </c:pt>
                <c:pt idx="6">
                  <c:v>2026-W20</c:v>
                </c:pt>
                <c:pt idx="7">
                  <c:v>2026-W21</c:v>
                </c:pt>
                <c:pt idx="8">
                  <c:v>2026-W22</c:v>
                </c:pt>
                <c:pt idx="9">
                  <c:v>2026-W23</c:v>
                </c:pt>
                <c:pt idx="10">
                  <c:v>2026-W24</c:v>
                </c:pt>
                <c:pt idx="11">
                  <c:v>2026-W25</c:v>
                </c:pt>
                <c:pt idx="12">
                  <c:v>2026-W26</c:v>
                </c:pt>
                <c:pt idx="13">
                  <c:v>2026-W27</c:v>
                </c:pt>
                <c:pt idx="14">
                  <c:v>2026-W28</c:v>
                </c:pt>
                <c:pt idx="15">
                  <c:v>2026-W29</c:v>
                </c:pt>
                <c:pt idx="16">
                  <c:v>2026-W30</c:v>
                </c:pt>
                <c:pt idx="17">
                  <c:v>2026-W31</c:v>
                </c:pt>
                <c:pt idx="18">
                  <c:v>2026-W32</c:v>
                </c:pt>
                <c:pt idx="19">
                  <c:v>2026-W33</c:v>
                </c:pt>
              </c:strCache>
            </c:strRef>
          </c:cat>
          <c:val>
            <c:numRef>
              <c:f>'Data Input'!$AB$6:$AB$25</c:f>
              <c:numCache>
                <c:formatCode>General</c:formatCode>
                <c:ptCount val="20"/>
                <c:pt idx="0">
                  <c:v>5</c:v>
                </c:pt>
                <c:pt idx="1">
                  <c:v>7</c:v>
                </c:pt>
                <c:pt idx="2">
                  <c:v>10</c:v>
                </c:pt>
                <c:pt idx="3">
                  <c:v>13</c:v>
                </c:pt>
              </c:numCache>
            </c:numRef>
          </c:val>
        </c:ser>
        <c:gapWidth val="150"/>
        <c:overlap val="100"/>
        <c:axId val="50522497"/>
        <c:axId val="8011482"/>
      </c:barChart>
      <c:catAx>
        <c:axId val="50522497"/>
        <c:scaling>
          <c:orientation val="minMax"/>
        </c:scaling>
        <c:delete val="0"/>
        <c:axPos val="b"/>
        <c:numFmt formatCode="@" sourceLinked="0"/>
        <c:majorTickMark val="none"/>
        <c:minorTickMark val="none"/>
        <c:tickLblPos val="low"/>
        <c:spPr>
          <a:ln w="9360">
            <a:solidFill>
              <a:srgbClr val="878787"/>
            </a:solidFill>
            <a:round/>
          </a:ln>
        </c:spPr>
        <c:txPr>
          <a:bodyPr/>
          <a:lstStyle/>
          <a:p>
            <a:pPr>
              <a:defRPr b="0" sz="1000" spc="-1" strike="noStrike">
                <a:solidFill>
                  <a:srgbClr val="000000"/>
                </a:solidFill>
                <a:latin typeface="Calibri"/>
              </a:defRPr>
            </a:pPr>
          </a:p>
        </c:txPr>
        <c:crossAx val="8011482"/>
        <c:crosses val="autoZero"/>
        <c:auto val="1"/>
        <c:lblAlgn val="ctr"/>
        <c:lblOffset val="100"/>
        <c:noMultiLvlLbl val="0"/>
      </c:catAx>
      <c:valAx>
        <c:axId val="8011482"/>
        <c:scaling>
          <c:orientation val="minMax"/>
        </c:scaling>
        <c:delete val="0"/>
        <c:axPos val="l"/>
        <c:majorGridlines>
          <c:spPr>
            <a:ln w="9360">
              <a:solidFill>
                <a:srgbClr val="878787"/>
              </a:solidFill>
              <a:round/>
            </a:ln>
          </c:spPr>
        </c:majorGridlines>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0522497"/>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Total Story Points — Whole Team Velocity</a:t>
            </a:r>
          </a:p>
        </c:rich>
      </c:tx>
      <c:overlay val="0"/>
      <c:spPr>
        <a:noFill/>
        <a:ln w="0">
          <a:noFill/>
        </a:ln>
      </c:spPr>
    </c:title>
    <c:autoTitleDeleted val="0"/>
    <c:plotArea>
      <c:lineChart>
        <c:grouping val="standard"/>
        <c:varyColors val="0"/>
        <c:ser>
          <c:idx val="0"/>
          <c:order val="0"/>
          <c:tx>
            <c:strRef>
              <c:f>"Story Points (All)"</c:f>
              <c:strCache>
                <c:ptCount val="1"/>
                <c:pt idx="0">
                  <c:v>Story Points (All)</c:v>
                </c:pt>
              </c:strCache>
            </c:strRef>
          </c:tx>
          <c:spPr>
            <a:solidFill>
              <a:srgbClr val="1d4ed8"/>
            </a:solidFill>
            <a:ln w="24840">
              <a:solidFill>
                <a:srgbClr val="1d4ed8"/>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'Data Input'!$A$6:$A$25</c:f>
              <c:strCache>
                <c:ptCount val="20"/>
                <c:pt idx="0">
                  <c:v>2026-W14</c:v>
                </c:pt>
                <c:pt idx="1">
                  <c:v>2026-W15</c:v>
                </c:pt>
                <c:pt idx="2">
                  <c:v>2026-W16</c:v>
                </c:pt>
                <c:pt idx="3">
                  <c:v>2026-W17</c:v>
                </c:pt>
                <c:pt idx="4">
                  <c:v>2026-W18</c:v>
                </c:pt>
                <c:pt idx="5">
                  <c:v>2026-W19</c:v>
                </c:pt>
                <c:pt idx="6">
                  <c:v>2026-W20</c:v>
                </c:pt>
                <c:pt idx="7">
                  <c:v>2026-W21</c:v>
                </c:pt>
                <c:pt idx="8">
                  <c:v>2026-W22</c:v>
                </c:pt>
                <c:pt idx="9">
                  <c:v>2026-W23</c:v>
                </c:pt>
                <c:pt idx="10">
                  <c:v>2026-W24</c:v>
                </c:pt>
                <c:pt idx="11">
                  <c:v>2026-W25</c:v>
                </c:pt>
                <c:pt idx="12">
                  <c:v>2026-W26</c:v>
                </c:pt>
                <c:pt idx="13">
                  <c:v>2026-W27</c:v>
                </c:pt>
                <c:pt idx="14">
                  <c:v>2026-W28</c:v>
                </c:pt>
                <c:pt idx="15">
                  <c:v>2026-W29</c:v>
                </c:pt>
                <c:pt idx="16">
                  <c:v>2026-W30</c:v>
                </c:pt>
                <c:pt idx="17">
                  <c:v>2026-W31</c:v>
                </c:pt>
                <c:pt idx="18">
                  <c:v>2026-W32</c:v>
                </c:pt>
                <c:pt idx="19">
                  <c:v>2026-W33</c:v>
                </c:pt>
              </c:strCache>
            </c:strRef>
          </c:cat>
          <c:val>
            <c:numRef>
              <c:f>'Data Input'!$J$6:$J$25</c:f>
              <c:numCache>
                <c:formatCode>General</c:formatCode>
                <c:ptCount val="20"/>
                <c:pt idx="0">
                  <c:v>42</c:v>
                </c:pt>
                <c:pt idx="1">
                  <c:v>61</c:v>
                </c:pt>
                <c:pt idx="2">
                  <c:v>78</c:v>
                </c:pt>
                <c:pt idx="3">
                  <c:v>94</c:v>
                </c:pt>
              </c:numCache>
            </c:numRef>
          </c:val>
          <c:smooth val="1"/>
        </c:ser>
        <c:ser>
          <c:idx val="1"/>
          <c:order val="1"/>
          <c:tx>
            <c:strRef>
              <c:f>"PRs Merged"</c:f>
              <c:strCache>
                <c:ptCount val="1"/>
                <c:pt idx="0">
                  <c:v>PRs Merged</c:v>
                </c:pt>
              </c:strCache>
            </c:strRef>
          </c:tx>
          <c:spPr>
            <a:solidFill>
              <a:srgbClr val="047857"/>
            </a:solidFill>
            <a:ln w="24840">
              <a:solidFill>
                <a:srgbClr val="047857"/>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'Data Input'!$A$6:$A$25</c:f>
              <c:strCache>
                <c:ptCount val="20"/>
                <c:pt idx="0">
                  <c:v>2026-W14</c:v>
                </c:pt>
                <c:pt idx="1">
                  <c:v>2026-W15</c:v>
                </c:pt>
                <c:pt idx="2">
                  <c:v>2026-W16</c:v>
                </c:pt>
                <c:pt idx="3">
                  <c:v>2026-W17</c:v>
                </c:pt>
                <c:pt idx="4">
                  <c:v>2026-W18</c:v>
                </c:pt>
                <c:pt idx="5">
                  <c:v>2026-W19</c:v>
                </c:pt>
                <c:pt idx="6">
                  <c:v>2026-W20</c:v>
                </c:pt>
                <c:pt idx="7">
                  <c:v>2026-W21</c:v>
                </c:pt>
                <c:pt idx="8">
                  <c:v>2026-W22</c:v>
                </c:pt>
                <c:pt idx="9">
                  <c:v>2026-W23</c:v>
                </c:pt>
                <c:pt idx="10">
                  <c:v>2026-W24</c:v>
                </c:pt>
                <c:pt idx="11">
                  <c:v>2026-W25</c:v>
                </c:pt>
                <c:pt idx="12">
                  <c:v>2026-W26</c:v>
                </c:pt>
                <c:pt idx="13">
                  <c:v>2026-W27</c:v>
                </c:pt>
                <c:pt idx="14">
                  <c:v>2026-W28</c:v>
                </c:pt>
                <c:pt idx="15">
                  <c:v>2026-W29</c:v>
                </c:pt>
                <c:pt idx="16">
                  <c:v>2026-W30</c:v>
                </c:pt>
                <c:pt idx="17">
                  <c:v>2026-W31</c:v>
                </c:pt>
                <c:pt idx="18">
                  <c:v>2026-W32</c:v>
                </c:pt>
                <c:pt idx="19">
                  <c:v>2026-W33</c:v>
                </c:pt>
              </c:strCache>
            </c:strRef>
          </c:cat>
          <c:val>
            <c:numRef>
              <c:f>'Data Input'!$D$6:$D$25</c:f>
              <c:numCache>
                <c:formatCode>General</c:formatCode>
                <c:ptCount val="20"/>
                <c:pt idx="0">
                  <c:v>8</c:v>
                </c:pt>
                <c:pt idx="1">
                  <c:v>12</c:v>
                </c:pt>
                <c:pt idx="2">
                  <c:v>15</c:v>
                </c:pt>
                <c:pt idx="3">
                  <c:v>19</c:v>
                </c:pt>
              </c:numCache>
            </c:numRef>
          </c:val>
          <c:smooth val="1"/>
        </c:ser>
        <c:hiLowLines>
          <c:spPr>
            <a:ln w="0">
              <a:noFill/>
            </a:ln>
          </c:spPr>
        </c:hiLowLines>
        <c:marker val="0"/>
        <c:axId val="26031849"/>
        <c:axId val="3145042"/>
      </c:lineChart>
      <c:catAx>
        <c:axId val="26031849"/>
        <c:scaling>
          <c:orientation val="minMax"/>
        </c:scaling>
        <c:delete val="0"/>
        <c:axPos val="b"/>
        <c:numFmt formatCode="@" sourceLinked="0"/>
        <c:majorTickMark val="none"/>
        <c:minorTickMark val="none"/>
        <c:tickLblPos val="low"/>
        <c:spPr>
          <a:ln w="9360">
            <a:solidFill>
              <a:srgbClr val="878787"/>
            </a:solidFill>
            <a:round/>
          </a:ln>
        </c:spPr>
        <c:txPr>
          <a:bodyPr/>
          <a:lstStyle/>
          <a:p>
            <a:pPr>
              <a:defRPr b="0" sz="1000" spc="-1" strike="noStrike">
                <a:solidFill>
                  <a:srgbClr val="000000"/>
                </a:solidFill>
                <a:latin typeface="Calibri"/>
              </a:defRPr>
            </a:pPr>
          </a:p>
        </c:txPr>
        <c:crossAx val="3145042"/>
        <c:crosses val="autoZero"/>
        <c:auto val="1"/>
        <c:lblAlgn val="ctr"/>
        <c:lblOffset val="100"/>
        <c:noMultiLvlLbl val="0"/>
      </c:catAx>
      <c:valAx>
        <c:axId val="3145042"/>
        <c:scaling>
          <c:orientation val="minMax"/>
        </c:scaling>
        <c:delete val="0"/>
        <c:axPos val="l"/>
        <c:majorGridlines>
          <c:spPr>
            <a:ln w="9360">
              <a:solidFill>
                <a:srgbClr val="878787"/>
              </a:solidFill>
              <a:round/>
            </a:ln>
          </c:spPr>
        </c:majorGridlines>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6031849"/>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chart" Target="../charts/chart6.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9</xdr:row>
      <xdr:rowOff>0</xdr:rowOff>
    </xdr:from>
    <xdr:to>
      <xdr:col>9</xdr:col>
      <xdr:colOff>450360</xdr:colOff>
      <xdr:row>29</xdr:row>
      <xdr:rowOff>149400</xdr:rowOff>
    </xdr:to>
    <xdr:graphicFrame>
      <xdr:nvGraphicFramePr>
        <xdr:cNvPr id="0" name="Chart 1"/>
        <xdr:cNvGraphicFramePr/>
      </xdr:nvGraphicFramePr>
      <xdr:xfrm>
        <a:off x="0" y="2438280"/>
        <a:ext cx="6479640" cy="395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0</xdr:colOff>
      <xdr:row>9</xdr:row>
      <xdr:rowOff>0</xdr:rowOff>
    </xdr:from>
    <xdr:to>
      <xdr:col>20</xdr:col>
      <xdr:colOff>450360</xdr:colOff>
      <xdr:row>29</xdr:row>
      <xdr:rowOff>149400</xdr:rowOff>
    </xdr:to>
    <xdr:graphicFrame>
      <xdr:nvGraphicFramePr>
        <xdr:cNvPr id="1" name="Chart 2"/>
        <xdr:cNvGraphicFramePr/>
      </xdr:nvGraphicFramePr>
      <xdr:xfrm>
        <a:off x="7369200" y="2438280"/>
        <a:ext cx="6479640" cy="395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29</xdr:row>
      <xdr:rowOff>0</xdr:rowOff>
    </xdr:from>
    <xdr:to>
      <xdr:col>9</xdr:col>
      <xdr:colOff>450360</xdr:colOff>
      <xdr:row>49</xdr:row>
      <xdr:rowOff>149760</xdr:rowOff>
    </xdr:to>
    <xdr:graphicFrame>
      <xdr:nvGraphicFramePr>
        <xdr:cNvPr id="2" name="Chart 3"/>
        <xdr:cNvGraphicFramePr/>
      </xdr:nvGraphicFramePr>
      <xdr:xfrm>
        <a:off x="0" y="6248520"/>
        <a:ext cx="6479640" cy="3959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11</xdr:col>
      <xdr:colOff>0</xdr:colOff>
      <xdr:row>29</xdr:row>
      <xdr:rowOff>0</xdr:rowOff>
    </xdr:from>
    <xdr:to>
      <xdr:col>20</xdr:col>
      <xdr:colOff>450360</xdr:colOff>
      <xdr:row>49</xdr:row>
      <xdr:rowOff>149760</xdr:rowOff>
    </xdr:to>
    <xdr:graphicFrame>
      <xdr:nvGraphicFramePr>
        <xdr:cNvPr id="3" name="Chart 4"/>
        <xdr:cNvGraphicFramePr/>
      </xdr:nvGraphicFramePr>
      <xdr:xfrm>
        <a:off x="7369200" y="6248520"/>
        <a:ext cx="6479640" cy="39596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49</xdr:row>
      <xdr:rowOff>0</xdr:rowOff>
    </xdr:from>
    <xdr:to>
      <xdr:col>9</xdr:col>
      <xdr:colOff>450360</xdr:colOff>
      <xdr:row>73</xdr:row>
      <xdr:rowOff>107640</xdr:rowOff>
    </xdr:to>
    <xdr:graphicFrame>
      <xdr:nvGraphicFramePr>
        <xdr:cNvPr id="4" name="Chart 5"/>
        <xdr:cNvGraphicFramePr/>
      </xdr:nvGraphicFramePr>
      <xdr:xfrm>
        <a:off x="0" y="10058400"/>
        <a:ext cx="6479640" cy="467964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11</xdr:col>
      <xdr:colOff>0</xdr:colOff>
      <xdr:row>49</xdr:row>
      <xdr:rowOff>0</xdr:rowOff>
    </xdr:from>
    <xdr:to>
      <xdr:col>20</xdr:col>
      <xdr:colOff>450360</xdr:colOff>
      <xdr:row>69</xdr:row>
      <xdr:rowOff>149760</xdr:rowOff>
    </xdr:to>
    <xdr:graphicFrame>
      <xdr:nvGraphicFramePr>
        <xdr:cNvPr id="5" name="Chart 6"/>
        <xdr:cNvGraphicFramePr/>
      </xdr:nvGraphicFramePr>
      <xdr:xfrm>
        <a:off x="7369200" y="10058400"/>
        <a:ext cx="6479640" cy="395964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6.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6"/>
  <sheetViews>
    <sheetView showFormulas="false" showGridLines="true" showRowColHeaders="true" showZeros="true" rightToLeft="false" tabSelected="true" showOutlineSymbols="true" defaultGridColor="true" view="normal" topLeftCell="A1" colorId="64" zoomScale="95" zoomScaleNormal="95"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62"/>
    <col collapsed="false" customWidth="true" hidden="false" outlineLevel="0" max="3" min="3" style="0" width="38"/>
  </cols>
  <sheetData>
    <row r="1" customFormat="false" ht="37.5" hidden="false" customHeight="true" outlineLevel="0" collapsed="false">
      <c r="A1" s="1" t="s">
        <v>0</v>
      </c>
      <c r="B1" s="1"/>
      <c r="C1" s="1"/>
    </row>
    <row r="2" customFormat="false" ht="18" hidden="false" customHeight="true" outlineLevel="0" collapsed="false">
      <c r="A2" s="2" t="s">
        <v>1</v>
      </c>
      <c r="B2" s="2"/>
      <c r="C2" s="2"/>
    </row>
    <row r="3" customFormat="false" ht="24" hidden="false" customHeight="true" outlineLevel="0" collapsed="false">
      <c r="A3" s="3" t="s">
        <v>2</v>
      </c>
      <c r="B3" s="3"/>
      <c r="C3" s="3"/>
    </row>
    <row r="4" customFormat="false" ht="42" hidden="false" customHeight="true" outlineLevel="0" collapsed="false">
      <c r="A4" s="4" t="s">
        <v>3</v>
      </c>
      <c r="B4" s="5" t="s">
        <v>4</v>
      </c>
      <c r="C4" s="6" t="s">
        <v>5</v>
      </c>
    </row>
    <row r="5" customFormat="false" ht="36" hidden="false" customHeight="true" outlineLevel="0" collapsed="false">
      <c r="A5" s="4" t="s">
        <v>6</v>
      </c>
      <c r="B5" s="5" t="s">
        <v>7</v>
      </c>
      <c r="C5" s="6" t="s">
        <v>8</v>
      </c>
    </row>
    <row r="6" customFormat="false" ht="36" hidden="false" customHeight="true" outlineLevel="0" collapsed="false">
      <c r="A6" s="4" t="s">
        <v>9</v>
      </c>
      <c r="B6" s="5" t="s">
        <v>10</v>
      </c>
      <c r="C6" s="6" t="s">
        <v>11</v>
      </c>
    </row>
    <row r="7" customFormat="false" ht="24" hidden="false" customHeight="true" outlineLevel="0" collapsed="false">
      <c r="A7" s="7" t="s">
        <v>12</v>
      </c>
      <c r="B7" s="7"/>
      <c r="C7" s="7"/>
    </row>
    <row r="8" customFormat="false" ht="36" hidden="false" customHeight="true" outlineLevel="0" collapsed="false">
      <c r="A8" s="8" t="s">
        <v>13</v>
      </c>
      <c r="B8" s="5" t="s">
        <v>14</v>
      </c>
    </row>
    <row r="9" customFormat="false" ht="36" hidden="false" customHeight="true" outlineLevel="0" collapsed="false">
      <c r="A9" s="8" t="s">
        <v>15</v>
      </c>
      <c r="B9" s="5" t="s">
        <v>16</v>
      </c>
      <c r="C9" s="6" t="s">
        <v>17</v>
      </c>
    </row>
    <row r="10" customFormat="false" ht="36" hidden="false" customHeight="true" outlineLevel="0" collapsed="false">
      <c r="A10" s="8" t="s">
        <v>18</v>
      </c>
      <c r="B10" s="5" t="s">
        <v>19</v>
      </c>
      <c r="C10" s="6" t="s">
        <v>20</v>
      </c>
    </row>
    <row r="11" customFormat="false" ht="36" hidden="false" customHeight="true" outlineLevel="0" collapsed="false">
      <c r="A11" s="8" t="s">
        <v>21</v>
      </c>
      <c r="B11" s="5" t="s">
        <v>22</v>
      </c>
    </row>
    <row r="12" customFormat="false" ht="36" hidden="false" customHeight="true" outlineLevel="0" collapsed="false">
      <c r="A12" s="8" t="s">
        <v>23</v>
      </c>
      <c r="B12" s="5" t="s">
        <v>24</v>
      </c>
    </row>
    <row r="13" customFormat="false" ht="36" hidden="false" customHeight="true" outlineLevel="0" collapsed="false">
      <c r="A13" s="8" t="s">
        <v>25</v>
      </c>
      <c r="B13" s="5" t="s">
        <v>26</v>
      </c>
    </row>
    <row r="14" customFormat="false" ht="24" hidden="false" customHeight="true" outlineLevel="0" collapsed="false">
      <c r="A14" s="9" t="s">
        <v>27</v>
      </c>
      <c r="B14" s="9"/>
      <c r="C14" s="9"/>
    </row>
    <row r="15" customFormat="false" ht="60" hidden="false" customHeight="true" outlineLevel="0" collapsed="false">
      <c r="A15" s="10" t="s">
        <v>28</v>
      </c>
      <c r="B15" s="10"/>
      <c r="C15" s="10"/>
    </row>
    <row r="16" customFormat="false" ht="39.75" hidden="false" customHeight="true" outlineLevel="0" collapsed="false">
      <c r="A16" s="11" t="s">
        <v>29</v>
      </c>
      <c r="B16" s="5" t="s">
        <v>30</v>
      </c>
      <c r="C16" s="6" t="s">
        <v>31</v>
      </c>
    </row>
    <row r="17" customFormat="false" ht="39.75" hidden="false" customHeight="true" outlineLevel="0" collapsed="false">
      <c r="A17" s="11" t="s">
        <v>32</v>
      </c>
      <c r="B17" s="5" t="s">
        <v>33</v>
      </c>
      <c r="C17" s="6" t="s">
        <v>31</v>
      </c>
    </row>
    <row r="18" customFormat="false" ht="39.75" hidden="false" customHeight="true" outlineLevel="0" collapsed="false">
      <c r="A18" s="11" t="s">
        <v>34</v>
      </c>
      <c r="B18" s="5" t="s">
        <v>35</v>
      </c>
      <c r="C18" s="6" t="s">
        <v>36</v>
      </c>
    </row>
    <row r="19" customFormat="false" ht="39.75" hidden="false" customHeight="true" outlineLevel="0" collapsed="false">
      <c r="A19" s="11" t="s">
        <v>37</v>
      </c>
      <c r="B19" s="5" t="s">
        <v>38</v>
      </c>
      <c r="C19" s="6" t="s">
        <v>39</v>
      </c>
    </row>
    <row r="20" customFormat="false" ht="24" hidden="false" customHeight="true" outlineLevel="0" collapsed="false">
      <c r="A20" s="12" t="s">
        <v>40</v>
      </c>
      <c r="B20" s="12"/>
      <c r="C20" s="12"/>
    </row>
    <row r="21" customFormat="false" ht="30" hidden="false" customHeight="true" outlineLevel="0" collapsed="false">
      <c r="A21" s="13" t="s">
        <v>41</v>
      </c>
      <c r="B21" s="5" t="s">
        <v>42</v>
      </c>
      <c r="C21" s="6" t="s">
        <v>43</v>
      </c>
    </row>
    <row r="22" customFormat="false" ht="30" hidden="false" customHeight="true" outlineLevel="0" collapsed="false">
      <c r="A22" s="13" t="s">
        <v>44</v>
      </c>
      <c r="B22" s="5" t="s">
        <v>45</v>
      </c>
      <c r="C22" s="6" t="s">
        <v>46</v>
      </c>
    </row>
    <row r="23" customFormat="false" ht="30" hidden="false" customHeight="true" outlineLevel="0" collapsed="false">
      <c r="A23" s="13" t="s">
        <v>47</v>
      </c>
      <c r="B23" s="5" t="s">
        <v>48</v>
      </c>
      <c r="C23" s="6" t="s">
        <v>49</v>
      </c>
    </row>
    <row r="24" customFormat="false" ht="30" hidden="false" customHeight="true" outlineLevel="0" collapsed="false">
      <c r="A24" s="13" t="s">
        <v>50</v>
      </c>
      <c r="B24" s="5" t="s">
        <v>51</v>
      </c>
    </row>
    <row r="25" customFormat="false" ht="30" hidden="false" customHeight="true" outlineLevel="0" collapsed="false">
      <c r="A25" s="13" t="s">
        <v>52</v>
      </c>
      <c r="B25" s="5" t="s">
        <v>53</v>
      </c>
      <c r="C25" s="6" t="s">
        <v>54</v>
      </c>
    </row>
    <row r="26" customFormat="false" ht="30" hidden="false" customHeight="true" outlineLevel="0" collapsed="false">
      <c r="A26" s="13" t="s">
        <v>55</v>
      </c>
      <c r="B26" s="5" t="s">
        <v>56</v>
      </c>
      <c r="C26" s="6" t="s">
        <v>57</v>
      </c>
    </row>
  </sheetData>
  <mergeCells count="7">
    <mergeCell ref="A1:C1"/>
    <mergeCell ref="A2:C2"/>
    <mergeCell ref="A3:C3"/>
    <mergeCell ref="A7:C7"/>
    <mergeCell ref="A14:C14"/>
    <mergeCell ref="A15:C15"/>
    <mergeCell ref="A20:C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3" min="2" style="0" width="22"/>
    <col collapsed="false" customWidth="true" hidden="false" outlineLevel="0" max="5" min="4" style="0" width="16"/>
    <col collapsed="false" customWidth="true" hidden="false" outlineLevel="0" max="6" min="6" style="0" width="12"/>
    <col collapsed="false" customWidth="true" hidden="false" outlineLevel="0" max="7" min="7" style="0" width="40"/>
  </cols>
  <sheetData>
    <row r="1" customFormat="false" ht="33.75" hidden="false" customHeight="true" outlineLevel="0" collapsed="false">
      <c r="A1" s="14" t="s">
        <v>58</v>
      </c>
      <c r="B1" s="14"/>
      <c r="C1" s="14"/>
      <c r="D1" s="14"/>
      <c r="E1" s="14"/>
      <c r="F1" s="14"/>
      <c r="G1" s="14"/>
    </row>
    <row r="2" customFormat="false" ht="18" hidden="false" customHeight="true" outlineLevel="0" collapsed="false">
      <c r="A2" s="2" t="s">
        <v>59</v>
      </c>
      <c r="B2" s="2"/>
      <c r="C2" s="2"/>
      <c r="D2" s="2"/>
      <c r="E2" s="2"/>
      <c r="F2" s="2"/>
      <c r="G2" s="2"/>
    </row>
    <row r="3" customFormat="false" ht="27.75" hidden="false" customHeight="true" outlineLevel="0" collapsed="false">
      <c r="A3" s="15" t="s">
        <v>60</v>
      </c>
      <c r="B3" s="16" t="n">
        <f aca="false">COUNTA(B5:B34)</f>
        <v>10</v>
      </c>
      <c r="C3" s="17" t="n">
        <f aca="false">COUNTIF(F5:F34,"Y")</f>
        <v>3</v>
      </c>
      <c r="D3" s="18" t="n">
        <f aca="false">COUNTIF(F5:F34,"N")</f>
        <v>7</v>
      </c>
      <c r="E3" s="19" t="n">
        <f aca="false">IFERROR(C3/B3,0)</f>
        <v>0.3</v>
      </c>
      <c r="F3" s="20"/>
      <c r="G3" s="20"/>
    </row>
    <row r="4" customFormat="false" ht="31.5" hidden="false" customHeight="true" outlineLevel="0" collapsed="false">
      <c r="A4" s="21" t="s">
        <v>61</v>
      </c>
      <c r="B4" s="21" t="s">
        <v>62</v>
      </c>
      <c r="C4" s="21" t="s">
        <v>63</v>
      </c>
      <c r="D4" s="21" t="s">
        <v>64</v>
      </c>
      <c r="E4" s="21" t="s">
        <v>65</v>
      </c>
      <c r="F4" s="22" t="s">
        <v>66</v>
      </c>
      <c r="G4" s="21" t="s">
        <v>67</v>
      </c>
    </row>
    <row r="5" customFormat="false" ht="18" hidden="false" customHeight="true" outlineLevel="0" collapsed="false">
      <c r="A5" s="23" t="n">
        <v>1</v>
      </c>
      <c r="B5" s="24" t="s">
        <v>68</v>
      </c>
      <c r="C5" s="24" t="s">
        <v>69</v>
      </c>
      <c r="D5" s="23" t="s">
        <v>70</v>
      </c>
      <c r="E5" s="23" t="s">
        <v>71</v>
      </c>
      <c r="F5" s="25" t="s">
        <v>72</v>
      </c>
      <c r="G5" s="23" t="s">
        <v>73</v>
      </c>
    </row>
    <row r="6" customFormat="false" ht="18" hidden="false" customHeight="true" outlineLevel="0" collapsed="false">
      <c r="A6" s="23" t="n">
        <v>2</v>
      </c>
      <c r="B6" s="24" t="s">
        <v>74</v>
      </c>
      <c r="C6" s="24" t="s">
        <v>75</v>
      </c>
      <c r="D6" s="23" t="s">
        <v>76</v>
      </c>
      <c r="E6" s="23" t="s">
        <v>71</v>
      </c>
      <c r="F6" s="25" t="s">
        <v>72</v>
      </c>
      <c r="G6" s="23" t="s">
        <v>73</v>
      </c>
    </row>
    <row r="7" customFormat="false" ht="18" hidden="false" customHeight="true" outlineLevel="0" collapsed="false">
      <c r="A7" s="23" t="n">
        <v>3</v>
      </c>
      <c r="B7" s="24" t="s">
        <v>77</v>
      </c>
      <c r="C7" s="24" t="s">
        <v>78</v>
      </c>
      <c r="D7" s="23" t="s">
        <v>79</v>
      </c>
      <c r="E7" s="23" t="s">
        <v>71</v>
      </c>
      <c r="F7" s="25" t="s">
        <v>72</v>
      </c>
      <c r="G7" s="23" t="s">
        <v>80</v>
      </c>
    </row>
    <row r="8" customFormat="false" ht="18" hidden="false" customHeight="true" outlineLevel="0" collapsed="false">
      <c r="A8" s="23" t="n">
        <v>4</v>
      </c>
      <c r="B8" s="26" t="s">
        <v>81</v>
      </c>
      <c r="C8" s="26" t="s">
        <v>82</v>
      </c>
      <c r="D8" s="23" t="s">
        <v>83</v>
      </c>
      <c r="E8" s="23" t="s">
        <v>71</v>
      </c>
      <c r="F8" s="27" t="s">
        <v>84</v>
      </c>
      <c r="G8" s="23"/>
    </row>
    <row r="9" customFormat="false" ht="18" hidden="false" customHeight="true" outlineLevel="0" collapsed="false">
      <c r="A9" s="23" t="n">
        <v>5</v>
      </c>
      <c r="B9" s="26" t="s">
        <v>85</v>
      </c>
      <c r="C9" s="26" t="s">
        <v>86</v>
      </c>
      <c r="D9" s="23" t="s">
        <v>76</v>
      </c>
      <c r="E9" s="23" t="s">
        <v>87</v>
      </c>
      <c r="F9" s="27" t="s">
        <v>84</v>
      </c>
      <c r="G9" s="23"/>
    </row>
    <row r="10" customFormat="false" ht="18" hidden="false" customHeight="true" outlineLevel="0" collapsed="false">
      <c r="A10" s="23" t="n">
        <v>6</v>
      </c>
      <c r="B10" s="26" t="s">
        <v>88</v>
      </c>
      <c r="C10" s="26" t="s">
        <v>89</v>
      </c>
      <c r="D10" s="23" t="s">
        <v>90</v>
      </c>
      <c r="E10" s="23" t="s">
        <v>91</v>
      </c>
      <c r="F10" s="27" t="s">
        <v>84</v>
      </c>
      <c r="G10" s="23"/>
    </row>
    <row r="11" customFormat="false" ht="18" hidden="false" customHeight="true" outlineLevel="0" collapsed="false">
      <c r="A11" s="23" t="n">
        <v>7</v>
      </c>
      <c r="B11" s="26" t="s">
        <v>92</v>
      </c>
      <c r="C11" s="26" t="s">
        <v>93</v>
      </c>
      <c r="D11" s="23" t="s">
        <v>83</v>
      </c>
      <c r="E11" s="23" t="s">
        <v>87</v>
      </c>
      <c r="F11" s="27" t="s">
        <v>84</v>
      </c>
      <c r="G11" s="23"/>
    </row>
    <row r="12" customFormat="false" ht="18" hidden="false" customHeight="true" outlineLevel="0" collapsed="false">
      <c r="A12" s="23" t="n">
        <v>8</v>
      </c>
      <c r="B12" s="26" t="s">
        <v>94</v>
      </c>
      <c r="C12" s="26" t="s">
        <v>95</v>
      </c>
      <c r="D12" s="23" t="s">
        <v>96</v>
      </c>
      <c r="E12" s="23" t="s">
        <v>87</v>
      </c>
      <c r="F12" s="27" t="s">
        <v>84</v>
      </c>
      <c r="G12" s="23"/>
    </row>
    <row r="13" customFormat="false" ht="18" hidden="false" customHeight="true" outlineLevel="0" collapsed="false">
      <c r="A13" s="23" t="n">
        <v>9</v>
      </c>
      <c r="B13" s="26" t="s">
        <v>97</v>
      </c>
      <c r="C13" s="26" t="s">
        <v>98</v>
      </c>
      <c r="D13" s="23" t="s">
        <v>76</v>
      </c>
      <c r="E13" s="23" t="s">
        <v>71</v>
      </c>
      <c r="F13" s="27" t="s">
        <v>84</v>
      </c>
      <c r="G13" s="23"/>
    </row>
    <row r="14" customFormat="false" ht="18" hidden="false" customHeight="true" outlineLevel="0" collapsed="false">
      <c r="A14" s="23" t="n">
        <v>10</v>
      </c>
      <c r="B14" s="26" t="s">
        <v>99</v>
      </c>
      <c r="C14" s="26" t="s">
        <v>100</v>
      </c>
      <c r="D14" s="23" t="s">
        <v>101</v>
      </c>
      <c r="E14" s="23" t="s">
        <v>102</v>
      </c>
      <c r="F14" s="27" t="s">
        <v>84</v>
      </c>
      <c r="G14" s="23"/>
    </row>
    <row r="15" customFormat="false" ht="18" hidden="false" customHeight="true" outlineLevel="0" collapsed="false">
      <c r="A15" s="28" t="n">
        <v>11</v>
      </c>
      <c r="B15" s="29"/>
      <c r="C15" s="29"/>
      <c r="D15" s="29"/>
      <c r="E15" s="29"/>
      <c r="F15" s="29"/>
      <c r="G15" s="29"/>
    </row>
    <row r="16" customFormat="false" ht="18" hidden="false" customHeight="true" outlineLevel="0" collapsed="false">
      <c r="A16" s="28" t="n">
        <v>12</v>
      </c>
      <c r="B16" s="29"/>
      <c r="C16" s="29"/>
      <c r="D16" s="29"/>
      <c r="E16" s="29"/>
      <c r="F16" s="29"/>
      <c r="G16" s="29"/>
    </row>
    <row r="17" customFormat="false" ht="18" hidden="false" customHeight="true" outlineLevel="0" collapsed="false">
      <c r="A17" s="28" t="n">
        <v>13</v>
      </c>
      <c r="B17" s="29"/>
      <c r="C17" s="29"/>
      <c r="D17" s="29"/>
      <c r="E17" s="29"/>
      <c r="F17" s="29"/>
      <c r="G17" s="29"/>
    </row>
    <row r="18" customFormat="false" ht="18" hidden="false" customHeight="true" outlineLevel="0" collapsed="false">
      <c r="A18" s="28" t="n">
        <v>14</v>
      </c>
      <c r="B18" s="29"/>
      <c r="C18" s="29"/>
      <c r="D18" s="29"/>
      <c r="E18" s="29"/>
      <c r="F18" s="29"/>
      <c r="G18" s="29"/>
    </row>
    <row r="19" customFormat="false" ht="18" hidden="false" customHeight="true" outlineLevel="0" collapsed="false">
      <c r="A19" s="28" t="n">
        <v>15</v>
      </c>
      <c r="B19" s="29"/>
      <c r="C19" s="29"/>
      <c r="D19" s="29"/>
      <c r="E19" s="29"/>
      <c r="F19" s="29"/>
      <c r="G19" s="29"/>
    </row>
    <row r="20" customFormat="false" ht="18" hidden="false" customHeight="true" outlineLevel="0" collapsed="false">
      <c r="A20" s="28" t="n">
        <v>16</v>
      </c>
      <c r="B20" s="29"/>
      <c r="C20" s="29"/>
      <c r="D20" s="29"/>
      <c r="E20" s="29"/>
      <c r="F20" s="29"/>
      <c r="G20" s="29"/>
    </row>
    <row r="21" customFormat="false" ht="18" hidden="false" customHeight="true" outlineLevel="0" collapsed="false">
      <c r="A21" s="28" t="n">
        <v>17</v>
      </c>
      <c r="B21" s="29"/>
      <c r="C21" s="29"/>
      <c r="D21" s="29"/>
      <c r="E21" s="29"/>
      <c r="F21" s="29"/>
      <c r="G21" s="29"/>
    </row>
    <row r="22" customFormat="false" ht="18" hidden="false" customHeight="true" outlineLevel="0" collapsed="false">
      <c r="A22" s="28" t="n">
        <v>18</v>
      </c>
      <c r="B22" s="29"/>
      <c r="C22" s="29"/>
      <c r="D22" s="29"/>
      <c r="E22" s="29"/>
      <c r="F22" s="29"/>
      <c r="G22" s="29"/>
    </row>
    <row r="23" customFormat="false" ht="18" hidden="false" customHeight="true" outlineLevel="0" collapsed="false">
      <c r="A23" s="28" t="n">
        <v>19</v>
      </c>
      <c r="B23" s="29"/>
      <c r="C23" s="29"/>
      <c r="D23" s="29"/>
      <c r="E23" s="29"/>
      <c r="F23" s="29"/>
      <c r="G23" s="29"/>
    </row>
    <row r="24" customFormat="false" ht="18" hidden="false" customHeight="true" outlineLevel="0" collapsed="false">
      <c r="A24" s="28" t="n">
        <v>20</v>
      </c>
      <c r="B24" s="29"/>
      <c r="C24" s="29"/>
      <c r="D24" s="29"/>
      <c r="E24" s="29"/>
      <c r="F24" s="29"/>
      <c r="G24" s="29"/>
    </row>
    <row r="25" customFormat="false" ht="18" hidden="false" customHeight="true" outlineLevel="0" collapsed="false">
      <c r="A25" s="28" t="n">
        <v>21</v>
      </c>
      <c r="B25" s="29"/>
      <c r="C25" s="29"/>
      <c r="D25" s="29"/>
      <c r="E25" s="29"/>
      <c r="F25" s="29"/>
      <c r="G25" s="29"/>
    </row>
    <row r="26" customFormat="false" ht="18" hidden="false" customHeight="true" outlineLevel="0" collapsed="false">
      <c r="A26" s="28" t="n">
        <v>22</v>
      </c>
      <c r="B26" s="29"/>
      <c r="C26" s="29"/>
      <c r="D26" s="29"/>
      <c r="E26" s="29"/>
      <c r="F26" s="29"/>
      <c r="G26" s="29"/>
    </row>
    <row r="27" customFormat="false" ht="18" hidden="false" customHeight="true" outlineLevel="0" collapsed="false">
      <c r="A27" s="28" t="n">
        <v>23</v>
      </c>
      <c r="B27" s="29"/>
      <c r="C27" s="29"/>
      <c r="D27" s="29"/>
      <c r="E27" s="29"/>
      <c r="F27" s="29"/>
      <c r="G27" s="29"/>
    </row>
    <row r="28" customFormat="false" ht="18" hidden="false" customHeight="true" outlineLevel="0" collapsed="false">
      <c r="A28" s="28" t="n">
        <v>24</v>
      </c>
      <c r="B28" s="29"/>
      <c r="C28" s="29"/>
      <c r="D28" s="29"/>
      <c r="E28" s="29"/>
      <c r="F28" s="29"/>
      <c r="G28" s="29"/>
    </row>
    <row r="29" customFormat="false" ht="18" hidden="false" customHeight="true" outlineLevel="0" collapsed="false">
      <c r="A29" s="28" t="n">
        <v>25</v>
      </c>
      <c r="B29" s="29"/>
      <c r="C29" s="29"/>
      <c r="D29" s="29"/>
      <c r="E29" s="29"/>
      <c r="F29" s="29"/>
      <c r="G29" s="29"/>
    </row>
    <row r="30" customFormat="false" ht="18" hidden="false" customHeight="true" outlineLevel="0" collapsed="false">
      <c r="A30" s="28" t="n">
        <v>26</v>
      </c>
      <c r="B30" s="29"/>
      <c r="C30" s="29"/>
      <c r="D30" s="29"/>
      <c r="E30" s="29"/>
      <c r="F30" s="29"/>
      <c r="G30" s="29"/>
    </row>
    <row r="31" customFormat="false" ht="18" hidden="false" customHeight="true" outlineLevel="0" collapsed="false">
      <c r="A31" s="28" t="n">
        <v>27</v>
      </c>
      <c r="B31" s="29"/>
      <c r="C31" s="29"/>
      <c r="D31" s="29"/>
      <c r="E31" s="29"/>
      <c r="F31" s="29"/>
      <c r="G31" s="29"/>
    </row>
    <row r="32" customFormat="false" ht="18" hidden="false" customHeight="true" outlineLevel="0" collapsed="false">
      <c r="A32" s="28" t="n">
        <v>28</v>
      </c>
      <c r="B32" s="29"/>
      <c r="C32" s="29"/>
      <c r="D32" s="29"/>
      <c r="E32" s="29"/>
      <c r="F32" s="29"/>
      <c r="G32" s="29"/>
    </row>
    <row r="33" customFormat="false" ht="18" hidden="false" customHeight="true" outlineLevel="0" collapsed="false">
      <c r="A33" s="28" t="n">
        <v>29</v>
      </c>
      <c r="B33" s="29"/>
      <c r="C33" s="29"/>
      <c r="D33" s="29"/>
      <c r="E33" s="29"/>
      <c r="F33" s="29"/>
      <c r="G33" s="29"/>
    </row>
    <row r="34" customFormat="false" ht="18" hidden="false" customHeight="true" outlineLevel="0" collapsed="false">
      <c r="A34" s="28" t="n">
        <v>30</v>
      </c>
      <c r="B34" s="29"/>
      <c r="C34" s="29"/>
      <c r="D34" s="29"/>
      <c r="E34" s="29"/>
      <c r="F34" s="29"/>
      <c r="G34" s="29"/>
    </row>
  </sheetData>
  <mergeCells count="2">
    <mergeCell ref="A1:G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4"/>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4"/>
    <col collapsed="false" customWidth="true" hidden="false" outlineLevel="0" max="3" min="3" style="0" width="18"/>
    <col collapsed="false" customWidth="true" hidden="false" outlineLevel="0" max="4" min="4" style="0" width="48"/>
    <col collapsed="false" customWidth="true" hidden="false" outlineLevel="0" max="5" min="5" style="0" width="38"/>
    <col collapsed="false" customWidth="true" hidden="false" outlineLevel="0" max="6" min="6" style="0" width="22"/>
  </cols>
  <sheetData>
    <row r="1" customFormat="false" ht="36" hidden="false" customHeight="true" outlineLevel="0" collapsed="false">
      <c r="A1" s="30" t="s">
        <v>103</v>
      </c>
      <c r="B1" s="30"/>
      <c r="C1" s="30"/>
      <c r="D1" s="30"/>
      <c r="E1" s="30"/>
      <c r="F1" s="30"/>
    </row>
    <row r="2" customFormat="false" ht="18" hidden="false" customHeight="true" outlineLevel="0" collapsed="false">
      <c r="A2" s="2" t="s">
        <v>104</v>
      </c>
      <c r="B2" s="2"/>
      <c r="C2" s="2"/>
      <c r="D2" s="2"/>
      <c r="E2" s="2"/>
      <c r="F2" s="2"/>
    </row>
    <row r="3" customFormat="false" ht="39.75" hidden="false" customHeight="true" outlineLevel="0" collapsed="false">
      <c r="A3" s="21" t="s">
        <v>61</v>
      </c>
      <c r="B3" s="21" t="s">
        <v>105</v>
      </c>
      <c r="C3" s="21" t="s">
        <v>106</v>
      </c>
      <c r="D3" s="21" t="s">
        <v>107</v>
      </c>
      <c r="E3" s="21" t="s">
        <v>108</v>
      </c>
      <c r="F3" s="21" t="s">
        <v>109</v>
      </c>
    </row>
    <row r="4" customFormat="false" ht="21.75" hidden="false" customHeight="true" outlineLevel="0" collapsed="false">
      <c r="A4" s="31" t="s">
        <v>110</v>
      </c>
      <c r="B4" s="31"/>
      <c r="C4" s="31"/>
      <c r="D4" s="31"/>
      <c r="E4" s="31"/>
      <c r="F4" s="31"/>
    </row>
    <row r="5" customFormat="false" ht="60" hidden="false" customHeight="true" outlineLevel="0" collapsed="false">
      <c r="A5" s="32" t="s">
        <v>111</v>
      </c>
      <c r="B5" s="33" t="s">
        <v>112</v>
      </c>
      <c r="C5" s="34" t="s">
        <v>113</v>
      </c>
      <c r="D5" s="35" t="s">
        <v>114</v>
      </c>
      <c r="E5" s="36" t="s">
        <v>115</v>
      </c>
      <c r="F5" s="37" t="s">
        <v>116</v>
      </c>
    </row>
    <row r="6" customFormat="false" ht="60" hidden="false" customHeight="true" outlineLevel="0" collapsed="false">
      <c r="A6" s="32" t="s">
        <v>117</v>
      </c>
      <c r="B6" s="33" t="s">
        <v>118</v>
      </c>
      <c r="C6" s="34" t="s">
        <v>113</v>
      </c>
      <c r="D6" s="35" t="s">
        <v>119</v>
      </c>
      <c r="E6" s="36" t="s">
        <v>120</v>
      </c>
      <c r="F6" s="37" t="s">
        <v>121</v>
      </c>
    </row>
    <row r="7" customFormat="false" ht="60" hidden="false" customHeight="true" outlineLevel="0" collapsed="false">
      <c r="A7" s="32" t="s">
        <v>122</v>
      </c>
      <c r="B7" s="33" t="s">
        <v>123</v>
      </c>
      <c r="C7" s="34" t="s">
        <v>113</v>
      </c>
      <c r="D7" s="35" t="s">
        <v>124</v>
      </c>
      <c r="E7" s="36" t="s">
        <v>125</v>
      </c>
      <c r="F7" s="37" t="s">
        <v>116</v>
      </c>
    </row>
    <row r="8" customFormat="false" ht="60" hidden="false" customHeight="true" outlineLevel="0" collapsed="false">
      <c r="A8" s="32" t="s">
        <v>126</v>
      </c>
      <c r="B8" s="33" t="s">
        <v>127</v>
      </c>
      <c r="C8" s="34" t="s">
        <v>113</v>
      </c>
      <c r="D8" s="35" t="s">
        <v>128</v>
      </c>
      <c r="E8" s="36" t="s">
        <v>129</v>
      </c>
      <c r="F8" s="37" t="s">
        <v>130</v>
      </c>
    </row>
    <row r="9" customFormat="false" ht="60" hidden="false" customHeight="true" outlineLevel="0" collapsed="false">
      <c r="A9" s="32" t="s">
        <v>131</v>
      </c>
      <c r="B9" s="33" t="s">
        <v>132</v>
      </c>
      <c r="C9" s="34" t="s">
        <v>113</v>
      </c>
      <c r="D9" s="35" t="s">
        <v>133</v>
      </c>
      <c r="E9" s="36" t="s">
        <v>134</v>
      </c>
      <c r="F9" s="37" t="s">
        <v>135</v>
      </c>
    </row>
    <row r="10" customFormat="false" ht="21.75" hidden="false" customHeight="true" outlineLevel="0" collapsed="false">
      <c r="A10" s="38" t="s">
        <v>136</v>
      </c>
      <c r="B10" s="38"/>
      <c r="C10" s="38"/>
      <c r="D10" s="38"/>
      <c r="E10" s="38"/>
      <c r="F10" s="38"/>
    </row>
    <row r="11" customFormat="false" ht="60" hidden="false" customHeight="true" outlineLevel="0" collapsed="false">
      <c r="A11" s="32" t="s">
        <v>137</v>
      </c>
      <c r="B11" s="39" t="s">
        <v>138</v>
      </c>
      <c r="C11" s="40" t="s">
        <v>139</v>
      </c>
      <c r="D11" s="36" t="s">
        <v>140</v>
      </c>
      <c r="E11" s="36" t="s">
        <v>141</v>
      </c>
      <c r="F11" s="37" t="s">
        <v>130</v>
      </c>
    </row>
    <row r="12" customFormat="false" ht="60" hidden="false" customHeight="true" outlineLevel="0" collapsed="false">
      <c r="A12" s="32" t="s">
        <v>142</v>
      </c>
      <c r="B12" s="39" t="s">
        <v>143</v>
      </c>
      <c r="C12" s="40" t="s">
        <v>139</v>
      </c>
      <c r="D12" s="36" t="s">
        <v>144</v>
      </c>
      <c r="E12" s="36" t="s">
        <v>145</v>
      </c>
      <c r="F12" s="37" t="s">
        <v>135</v>
      </c>
    </row>
    <row r="13" customFormat="false" ht="60" hidden="false" customHeight="true" outlineLevel="0" collapsed="false">
      <c r="A13" s="32" t="s">
        <v>146</v>
      </c>
      <c r="B13" s="39" t="s">
        <v>147</v>
      </c>
      <c r="C13" s="40" t="s">
        <v>139</v>
      </c>
      <c r="D13" s="36" t="s">
        <v>148</v>
      </c>
      <c r="E13" s="36" t="s">
        <v>149</v>
      </c>
      <c r="F13" s="37" t="s">
        <v>130</v>
      </c>
    </row>
    <row r="14" customFormat="false" ht="60" hidden="false" customHeight="true" outlineLevel="0" collapsed="false">
      <c r="A14" s="32" t="s">
        <v>150</v>
      </c>
      <c r="B14" s="39" t="s">
        <v>151</v>
      </c>
      <c r="C14" s="40" t="s">
        <v>139</v>
      </c>
      <c r="D14" s="36" t="s">
        <v>152</v>
      </c>
      <c r="E14" s="36" t="s">
        <v>153</v>
      </c>
      <c r="F14" s="37" t="s">
        <v>130</v>
      </c>
    </row>
    <row r="15" customFormat="false" ht="60" hidden="false" customHeight="true" outlineLevel="0" collapsed="false">
      <c r="A15" s="32" t="s">
        <v>154</v>
      </c>
      <c r="B15" s="39" t="s">
        <v>155</v>
      </c>
      <c r="C15" s="40" t="s">
        <v>139</v>
      </c>
      <c r="D15" s="36" t="s">
        <v>156</v>
      </c>
      <c r="E15" s="36" t="s">
        <v>157</v>
      </c>
      <c r="F15" s="37" t="s">
        <v>116</v>
      </c>
    </row>
    <row r="16" customFormat="false" ht="60" hidden="false" customHeight="true" outlineLevel="0" collapsed="false">
      <c r="A16" s="32" t="s">
        <v>158</v>
      </c>
      <c r="B16" s="39" t="s">
        <v>159</v>
      </c>
      <c r="C16" s="40" t="s">
        <v>139</v>
      </c>
      <c r="D16" s="36" t="s">
        <v>160</v>
      </c>
      <c r="E16" s="36" t="s">
        <v>161</v>
      </c>
      <c r="F16" s="37" t="s">
        <v>135</v>
      </c>
    </row>
    <row r="17" customFormat="false" ht="21.75" hidden="false" customHeight="true" outlineLevel="0" collapsed="false">
      <c r="A17" s="41" t="s">
        <v>162</v>
      </c>
      <c r="B17" s="41"/>
      <c r="C17" s="41"/>
      <c r="D17" s="41"/>
      <c r="E17" s="41"/>
      <c r="F17" s="41"/>
    </row>
    <row r="18" customFormat="false" ht="60" hidden="false" customHeight="true" outlineLevel="0" collapsed="false">
      <c r="A18" s="32" t="s">
        <v>163</v>
      </c>
      <c r="B18" s="42" t="s">
        <v>164</v>
      </c>
      <c r="C18" s="43" t="s">
        <v>165</v>
      </c>
      <c r="D18" s="44" t="s">
        <v>166</v>
      </c>
      <c r="E18" s="36" t="s">
        <v>167</v>
      </c>
      <c r="F18" s="37" t="s">
        <v>168</v>
      </c>
    </row>
    <row r="19" customFormat="false" ht="60" hidden="false" customHeight="true" outlineLevel="0" collapsed="false">
      <c r="A19" s="32" t="s">
        <v>169</v>
      </c>
      <c r="B19" s="42" t="s">
        <v>170</v>
      </c>
      <c r="C19" s="43" t="s">
        <v>165</v>
      </c>
      <c r="D19" s="44" t="s">
        <v>171</v>
      </c>
      <c r="E19" s="36" t="s">
        <v>172</v>
      </c>
      <c r="F19" s="37" t="s">
        <v>168</v>
      </c>
    </row>
    <row r="20" customFormat="false" ht="60" hidden="false" customHeight="true" outlineLevel="0" collapsed="false">
      <c r="A20" s="32" t="s">
        <v>173</v>
      </c>
      <c r="B20" s="42" t="s">
        <v>174</v>
      </c>
      <c r="C20" s="43" t="s">
        <v>165</v>
      </c>
      <c r="D20" s="44" t="s">
        <v>175</v>
      </c>
      <c r="E20" s="36" t="s">
        <v>176</v>
      </c>
      <c r="F20" s="37" t="s">
        <v>168</v>
      </c>
    </row>
    <row r="21" customFormat="false" ht="60" hidden="false" customHeight="true" outlineLevel="0" collapsed="false">
      <c r="A21" s="32" t="s">
        <v>177</v>
      </c>
      <c r="B21" s="42" t="s">
        <v>178</v>
      </c>
      <c r="C21" s="43" t="s">
        <v>165</v>
      </c>
      <c r="D21" s="44" t="s">
        <v>179</v>
      </c>
      <c r="E21" s="36" t="s">
        <v>180</v>
      </c>
      <c r="F21" s="37" t="s">
        <v>168</v>
      </c>
    </row>
    <row r="22" customFormat="false" ht="60" hidden="false" customHeight="true" outlineLevel="0" collapsed="false">
      <c r="A22" s="32" t="s">
        <v>181</v>
      </c>
      <c r="B22" s="42" t="s">
        <v>182</v>
      </c>
      <c r="C22" s="43" t="s">
        <v>165</v>
      </c>
      <c r="D22" s="44" t="s">
        <v>183</v>
      </c>
      <c r="E22" s="36" t="s">
        <v>184</v>
      </c>
      <c r="F22" s="37" t="s">
        <v>168</v>
      </c>
    </row>
    <row r="23" customFormat="false" ht="60" hidden="false" customHeight="true" outlineLevel="0" collapsed="false">
      <c r="A23" s="32" t="s">
        <v>185</v>
      </c>
      <c r="B23" s="42" t="s">
        <v>186</v>
      </c>
      <c r="C23" s="43" t="s">
        <v>165</v>
      </c>
      <c r="D23" s="44" t="s">
        <v>187</v>
      </c>
      <c r="E23" s="36" t="s">
        <v>188</v>
      </c>
      <c r="F23" s="37" t="s">
        <v>168</v>
      </c>
    </row>
    <row r="24" customFormat="false" ht="60" hidden="false" customHeight="true" outlineLevel="0" collapsed="false">
      <c r="A24" s="32" t="s">
        <v>189</v>
      </c>
      <c r="B24" s="42" t="s">
        <v>190</v>
      </c>
      <c r="C24" s="43" t="s">
        <v>165</v>
      </c>
      <c r="D24" s="44" t="s">
        <v>191</v>
      </c>
      <c r="E24" s="36" t="s">
        <v>192</v>
      </c>
      <c r="F24" s="37" t="s">
        <v>193</v>
      </c>
    </row>
    <row r="25" customFormat="false" ht="21.75" hidden="false" customHeight="true" outlineLevel="0" collapsed="false">
      <c r="A25" s="45" t="s">
        <v>194</v>
      </c>
      <c r="B25" s="45"/>
      <c r="C25" s="45"/>
      <c r="D25" s="45"/>
      <c r="E25" s="45"/>
      <c r="F25" s="45"/>
    </row>
    <row r="26" customFormat="false" ht="60" hidden="false" customHeight="true" outlineLevel="0" collapsed="false">
      <c r="A26" s="32" t="s">
        <v>195</v>
      </c>
      <c r="B26" s="46" t="s">
        <v>196</v>
      </c>
      <c r="C26" s="47" t="s">
        <v>197</v>
      </c>
      <c r="D26" s="48" t="s">
        <v>198</v>
      </c>
      <c r="E26" s="36" t="s">
        <v>199</v>
      </c>
      <c r="F26" s="37" t="s">
        <v>135</v>
      </c>
    </row>
    <row r="27" customFormat="false" ht="60" hidden="false" customHeight="true" outlineLevel="0" collapsed="false">
      <c r="A27" s="32" t="s">
        <v>200</v>
      </c>
      <c r="B27" s="46" t="s">
        <v>201</v>
      </c>
      <c r="C27" s="47" t="s">
        <v>197</v>
      </c>
      <c r="D27" s="48" t="s">
        <v>202</v>
      </c>
      <c r="E27" s="36" t="s">
        <v>203</v>
      </c>
      <c r="F27" s="37" t="s">
        <v>121</v>
      </c>
    </row>
    <row r="28" customFormat="false" ht="21.75" hidden="false" customHeight="true" outlineLevel="0" collapsed="false">
      <c r="A28" s="49" t="s">
        <v>204</v>
      </c>
      <c r="B28" s="49"/>
      <c r="C28" s="49"/>
      <c r="D28" s="49"/>
      <c r="E28" s="49"/>
      <c r="F28" s="49"/>
    </row>
    <row r="29" customFormat="false" ht="43.5" hidden="false" customHeight="true" outlineLevel="0" collapsed="false">
      <c r="A29" s="50" t="s">
        <v>205</v>
      </c>
      <c r="B29" s="51" t="s">
        <v>206</v>
      </c>
      <c r="C29" s="52" t="s">
        <v>207</v>
      </c>
      <c r="D29" s="52"/>
    </row>
    <row r="30" customFormat="false" ht="43.5" hidden="false" customHeight="true" outlineLevel="0" collapsed="false">
      <c r="A30" s="50" t="s">
        <v>205</v>
      </c>
      <c r="B30" s="51" t="s">
        <v>208</v>
      </c>
      <c r="C30" s="52" t="s">
        <v>209</v>
      </c>
      <c r="D30" s="52"/>
    </row>
    <row r="31" customFormat="false" ht="43.5" hidden="false" customHeight="true" outlineLevel="0" collapsed="false">
      <c r="A31" s="50" t="s">
        <v>205</v>
      </c>
      <c r="B31" s="51" t="s">
        <v>210</v>
      </c>
      <c r="C31" s="52" t="s">
        <v>211</v>
      </c>
      <c r="D31" s="52"/>
    </row>
    <row r="32" customFormat="false" ht="43.5" hidden="false" customHeight="true" outlineLevel="0" collapsed="false">
      <c r="A32" s="50" t="s">
        <v>205</v>
      </c>
      <c r="B32" s="51" t="s">
        <v>212</v>
      </c>
      <c r="C32" s="52" t="s">
        <v>213</v>
      </c>
      <c r="D32" s="52"/>
    </row>
    <row r="33" customFormat="false" ht="43.5" hidden="false" customHeight="true" outlineLevel="0" collapsed="false">
      <c r="A33" s="50" t="s">
        <v>205</v>
      </c>
      <c r="B33" s="51" t="s">
        <v>214</v>
      </c>
      <c r="C33" s="52" t="s">
        <v>215</v>
      </c>
      <c r="D33" s="52"/>
    </row>
    <row r="34" customFormat="false" ht="43.5" hidden="false" customHeight="true" outlineLevel="0" collapsed="false">
      <c r="A34" s="50" t="s">
        <v>205</v>
      </c>
      <c r="B34" s="51" t="s">
        <v>216</v>
      </c>
      <c r="C34" s="52" t="s">
        <v>217</v>
      </c>
      <c r="D34" s="52"/>
    </row>
  </sheetData>
  <mergeCells count="7">
    <mergeCell ref="A1:F1"/>
    <mergeCell ref="A2:F2"/>
    <mergeCell ref="A4:F4"/>
    <mergeCell ref="A10:F10"/>
    <mergeCell ref="A17:F17"/>
    <mergeCell ref="A25:F25"/>
    <mergeCell ref="A28:F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H25"/>
  <sheetViews>
    <sheetView showFormulas="false" showGridLines="true" showRowColHeaders="true" showZeros="true" rightToLeft="false" tabSelected="false" showOutlineSymbols="true" defaultGridColor="true" view="normal" topLeftCell="A1" colorId="64" zoomScale="80" zoomScaleNormal="8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3" min="1" style="0" width="12"/>
    <col collapsed="false" customWidth="true" hidden="false" outlineLevel="0" max="4" min="4" style="0" width="11"/>
    <col collapsed="false" customWidth="true" hidden="false" outlineLevel="0" max="5" min="5" style="0" width="14"/>
    <col collapsed="false" customWidth="true" hidden="false" outlineLevel="0" max="7" min="6" style="0" width="11"/>
    <col collapsed="false" customWidth="true" hidden="false" outlineLevel="0" max="8" min="8" style="0" width="15"/>
    <col collapsed="false" customWidth="true" hidden="false" outlineLevel="0" max="13" min="9" style="0" width="12"/>
    <col collapsed="false" customWidth="true" hidden="false" outlineLevel="0" max="14" min="14" style="0" width="14"/>
    <col collapsed="false" customWidth="true" hidden="false" outlineLevel="0" max="15" min="15" style="0" width="13"/>
    <col collapsed="false" customWidth="true" hidden="false" outlineLevel="0" max="16" min="16" style="0" width="14"/>
    <col collapsed="false" customWidth="true" hidden="false" outlineLevel="0" max="17" min="17" style="0" width="11"/>
    <col collapsed="false" customWidth="true" hidden="false" outlineLevel="0" max="18" min="18" style="0" width="13"/>
    <col collapsed="false" customWidth="true" hidden="false" outlineLevel="0" max="19" min="19" style="0" width="11"/>
    <col collapsed="false" customWidth="true" hidden="false" outlineLevel="0" max="20" min="20" style="0" width="13"/>
    <col collapsed="false" customWidth="true" hidden="false" outlineLevel="0" max="21" min="21" style="0" width="11"/>
    <col collapsed="false" customWidth="true" hidden="false" outlineLevel="0" max="22" min="22" style="0" width="14"/>
    <col collapsed="false" customWidth="true" hidden="false" outlineLevel="0" max="23" min="23" style="0" width="11"/>
    <col collapsed="false" customWidth="true" hidden="false" outlineLevel="0" max="25" min="24" style="0" width="13"/>
    <col collapsed="false" customWidth="true" hidden="false" outlineLevel="0" max="27" min="26" style="0" width="11"/>
    <col collapsed="false" customWidth="true" hidden="false" outlineLevel="0" max="28" min="28" style="0" width="13"/>
    <col collapsed="false" customWidth="true" hidden="false" outlineLevel="0" max="29" min="29" style="0" width="11"/>
    <col collapsed="false" customWidth="true" hidden="false" outlineLevel="0" max="31" min="30" style="0" width="13"/>
    <col collapsed="false" customWidth="true" hidden="false" outlineLevel="0" max="32" min="32" style="0" width="10"/>
  </cols>
  <sheetData>
    <row r="1" customFormat="false" ht="37.5" hidden="false" customHeight="true" outlineLevel="0" collapsed="false">
      <c r="A1" s="1" t="s">
        <v>218</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customFormat="false" ht="19.5" hidden="false" customHeight="true" outlineLevel="0" collapsed="false">
      <c r="A2" s="2" t="s">
        <v>219</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row>
    <row r="3" customFormat="false" ht="21.75" hidden="false" customHeight="true" outlineLevel="0" collapsed="false">
      <c r="A3" s="53" t="s">
        <v>220</v>
      </c>
      <c r="B3" s="53"/>
      <c r="C3" s="53"/>
      <c r="D3" s="54" t="s">
        <v>221</v>
      </c>
      <c r="E3" s="54"/>
      <c r="F3" s="54"/>
      <c r="G3" s="54"/>
      <c r="H3" s="54"/>
      <c r="I3" s="55" t="s">
        <v>139</v>
      </c>
      <c r="J3" s="55"/>
      <c r="K3" s="55"/>
      <c r="L3" s="55"/>
      <c r="M3" s="55"/>
      <c r="N3" s="55"/>
      <c r="O3" s="56" t="s">
        <v>222</v>
      </c>
      <c r="P3" s="56"/>
      <c r="Q3" s="57" t="s">
        <v>223</v>
      </c>
      <c r="R3" s="57"/>
      <c r="S3" s="57"/>
      <c r="T3" s="57"/>
      <c r="U3" s="57"/>
      <c r="V3" s="57"/>
      <c r="W3" s="57"/>
      <c r="X3" s="58" t="s">
        <v>224</v>
      </c>
      <c r="Y3" s="58"/>
      <c r="Z3" s="58"/>
      <c r="AA3" s="58"/>
      <c r="AB3" s="58"/>
      <c r="AC3" s="58"/>
      <c r="AD3" s="58"/>
      <c r="AE3" s="58"/>
      <c r="AF3" s="58"/>
    </row>
    <row r="4" customFormat="false" ht="30" hidden="false" customHeight="true" outlineLevel="0" collapsed="false"/>
    <row r="5" customFormat="false" ht="51.75" hidden="false" customHeight="true" outlineLevel="0" collapsed="false">
      <c r="A5" s="21" t="s">
        <v>225</v>
      </c>
      <c r="B5" s="21" t="s">
        <v>226</v>
      </c>
      <c r="C5" s="21" t="s">
        <v>227</v>
      </c>
      <c r="D5" s="59" t="s">
        <v>228</v>
      </c>
      <c r="E5" s="59" t="s">
        <v>229</v>
      </c>
      <c r="F5" s="59" t="s">
        <v>230</v>
      </c>
      <c r="G5" s="59" t="s">
        <v>231</v>
      </c>
      <c r="H5" s="59" t="s">
        <v>232</v>
      </c>
      <c r="I5" s="60" t="s">
        <v>233</v>
      </c>
      <c r="J5" s="60" t="s">
        <v>234</v>
      </c>
      <c r="K5" s="61" t="s">
        <v>235</v>
      </c>
      <c r="L5" s="61" t="s">
        <v>236</v>
      </c>
      <c r="M5" s="60" t="s">
        <v>237</v>
      </c>
      <c r="N5" s="60" t="s">
        <v>238</v>
      </c>
      <c r="O5" s="62" t="s">
        <v>239</v>
      </c>
      <c r="P5" s="62" t="s">
        <v>240</v>
      </c>
      <c r="Q5" s="62" t="s">
        <v>241</v>
      </c>
      <c r="R5" s="62" t="s">
        <v>242</v>
      </c>
      <c r="S5" s="62" t="s">
        <v>243</v>
      </c>
      <c r="T5" s="62" t="s">
        <v>244</v>
      </c>
      <c r="U5" s="62" t="s">
        <v>245</v>
      </c>
      <c r="V5" s="22" t="s">
        <v>246</v>
      </c>
      <c r="W5" s="22" t="s">
        <v>247</v>
      </c>
      <c r="X5" s="22" t="s">
        <v>248</v>
      </c>
      <c r="Y5" s="22" t="s">
        <v>249</v>
      </c>
      <c r="Z5" s="22" t="s">
        <v>250</v>
      </c>
      <c r="AA5" s="22" t="s">
        <v>251</v>
      </c>
      <c r="AB5" s="22" t="s">
        <v>252</v>
      </c>
      <c r="AC5" s="22" t="s">
        <v>253</v>
      </c>
      <c r="AD5" s="22" t="s">
        <v>254</v>
      </c>
      <c r="AE5" s="22" t="s">
        <v>255</v>
      </c>
      <c r="AF5" s="22" t="s">
        <v>256</v>
      </c>
    </row>
    <row r="6" customFormat="false" ht="18.75" hidden="false" customHeight="true" outlineLevel="0" collapsed="false">
      <c r="A6" s="23" t="s">
        <v>257</v>
      </c>
      <c r="B6" s="23" t="s">
        <v>258</v>
      </c>
      <c r="C6" s="23" t="s">
        <v>259</v>
      </c>
      <c r="D6" s="26" t="n">
        <v>8</v>
      </c>
      <c r="E6" s="26" t="n">
        <v>2.1</v>
      </c>
      <c r="F6" s="26" t="n">
        <v>34</v>
      </c>
      <c r="G6" s="26" t="n">
        <v>3</v>
      </c>
      <c r="H6" s="26" t="n">
        <v>88</v>
      </c>
      <c r="I6" s="63" t="n">
        <v>18</v>
      </c>
      <c r="J6" s="63" t="n">
        <v>42</v>
      </c>
      <c r="K6" s="64" t="n">
        <v>5</v>
      </c>
      <c r="L6" s="64" t="n">
        <v>3</v>
      </c>
      <c r="M6" s="63" t="n">
        <v>2</v>
      </c>
      <c r="N6" s="63" t="n">
        <v>6</v>
      </c>
      <c r="O6" s="65" t="n">
        <v>12</v>
      </c>
      <c r="P6" s="65" t="n">
        <v>6.2</v>
      </c>
      <c r="Q6" s="65" t="n">
        <v>71</v>
      </c>
      <c r="R6" s="65" t="n">
        <v>68</v>
      </c>
      <c r="S6" s="65" t="n">
        <v>4</v>
      </c>
      <c r="T6" s="65" t="n">
        <v>3</v>
      </c>
      <c r="U6" s="65" t="n">
        <v>28</v>
      </c>
      <c r="V6" s="24" t="n">
        <v>2</v>
      </c>
      <c r="W6" s="24" t="s">
        <v>260</v>
      </c>
      <c r="X6" s="24" t="n">
        <v>42</v>
      </c>
      <c r="Y6" s="24" t="n">
        <v>8</v>
      </c>
      <c r="Z6" s="24" t="n">
        <v>10</v>
      </c>
      <c r="AA6" s="24" t="n">
        <v>7</v>
      </c>
      <c r="AB6" s="24" t="n">
        <v>5</v>
      </c>
      <c r="AC6" s="24" t="n">
        <v>2</v>
      </c>
      <c r="AD6" s="24" t="n">
        <v>6</v>
      </c>
      <c r="AE6" s="24" t="n">
        <v>3</v>
      </c>
      <c r="AF6" s="24" t="n">
        <v>3</v>
      </c>
      <c r="AG6" s="24" t="n">
        <v>2</v>
      </c>
      <c r="AH6" s="24" t="n">
        <v>2</v>
      </c>
    </row>
    <row r="7" customFormat="false" ht="18.75" hidden="false" customHeight="true" outlineLevel="0" collapsed="false">
      <c r="A7" s="23" t="s">
        <v>261</v>
      </c>
      <c r="B7" s="23" t="s">
        <v>262</v>
      </c>
      <c r="C7" s="23" t="s">
        <v>263</v>
      </c>
      <c r="D7" s="26" t="n">
        <v>12</v>
      </c>
      <c r="E7" s="26" t="n">
        <v>1.8</v>
      </c>
      <c r="F7" s="26" t="n">
        <v>48</v>
      </c>
      <c r="G7" s="26" t="n">
        <v>2</v>
      </c>
      <c r="H7" s="26" t="n">
        <v>91</v>
      </c>
      <c r="I7" s="63" t="n">
        <v>27</v>
      </c>
      <c r="J7" s="63" t="n">
        <v>61</v>
      </c>
      <c r="K7" s="64" t="n">
        <v>3</v>
      </c>
      <c r="L7" s="64" t="n">
        <v>2</v>
      </c>
      <c r="M7" s="63" t="n">
        <v>1</v>
      </c>
      <c r="N7" s="63" t="n">
        <v>7</v>
      </c>
      <c r="O7" s="65" t="n">
        <v>20</v>
      </c>
      <c r="P7" s="65" t="n">
        <v>5.8</v>
      </c>
      <c r="Q7" s="65" t="n">
        <v>75</v>
      </c>
      <c r="R7" s="65" t="n">
        <v>72</v>
      </c>
      <c r="S7" s="65" t="n">
        <v>2</v>
      </c>
      <c r="T7" s="65" t="n">
        <v>2</v>
      </c>
      <c r="U7" s="65" t="n">
        <v>22</v>
      </c>
      <c r="V7" s="24" t="n">
        <v>1</v>
      </c>
      <c r="W7" s="24" t="s">
        <v>260</v>
      </c>
      <c r="X7" s="24" t="n">
        <v>61</v>
      </c>
      <c r="Y7" s="24" t="n">
        <v>12</v>
      </c>
      <c r="Z7" s="24" t="n">
        <v>14</v>
      </c>
      <c r="AA7" s="24" t="n">
        <v>10</v>
      </c>
      <c r="AB7" s="24" t="n">
        <v>7</v>
      </c>
      <c r="AC7" s="24" t="n">
        <v>3</v>
      </c>
      <c r="AD7" s="24" t="n">
        <v>9</v>
      </c>
      <c r="AE7" s="24" t="n">
        <v>4</v>
      </c>
      <c r="AF7" s="24" t="n">
        <v>4</v>
      </c>
      <c r="AG7" s="24" t="n">
        <v>3</v>
      </c>
      <c r="AH7" s="24" t="n">
        <v>3</v>
      </c>
    </row>
    <row r="8" customFormat="false" ht="18.75" hidden="false" customHeight="true" outlineLevel="0" collapsed="false">
      <c r="A8" s="23" t="s">
        <v>264</v>
      </c>
      <c r="B8" s="23" t="s">
        <v>265</v>
      </c>
      <c r="C8" s="23" t="s">
        <v>266</v>
      </c>
      <c r="D8" s="26" t="n">
        <v>15</v>
      </c>
      <c r="E8" s="26" t="n">
        <v>1.5</v>
      </c>
      <c r="F8" s="26" t="n">
        <v>57</v>
      </c>
      <c r="G8" s="26" t="n">
        <v>1</v>
      </c>
      <c r="H8" s="26" t="n">
        <v>94</v>
      </c>
      <c r="I8" s="63" t="n">
        <v>34</v>
      </c>
      <c r="J8" s="63" t="n">
        <v>78</v>
      </c>
      <c r="K8" s="64" t="n">
        <v>2</v>
      </c>
      <c r="L8" s="64" t="n">
        <v>1</v>
      </c>
      <c r="M8" s="63" t="n">
        <v>1</v>
      </c>
      <c r="N8" s="63" t="n">
        <v>9</v>
      </c>
      <c r="O8" s="65" t="n">
        <v>25</v>
      </c>
      <c r="P8" s="65" t="n">
        <v>5.1</v>
      </c>
      <c r="Q8" s="65" t="n">
        <v>81</v>
      </c>
      <c r="R8" s="65" t="n">
        <v>78</v>
      </c>
      <c r="S8" s="65" t="n">
        <v>1</v>
      </c>
      <c r="T8" s="65" t="n">
        <v>1</v>
      </c>
      <c r="U8" s="65" t="n">
        <v>18</v>
      </c>
      <c r="V8" s="24" t="n">
        <v>1</v>
      </c>
      <c r="W8" s="24" t="s">
        <v>260</v>
      </c>
      <c r="X8" s="24" t="n">
        <v>78</v>
      </c>
      <c r="Y8" s="24" t="n">
        <v>15</v>
      </c>
      <c r="Z8" s="24" t="n">
        <v>18</v>
      </c>
      <c r="AA8" s="24" t="n">
        <v>13</v>
      </c>
      <c r="AB8" s="24" t="n">
        <v>10</v>
      </c>
      <c r="AC8" s="24" t="n">
        <v>5</v>
      </c>
      <c r="AD8" s="24" t="n">
        <v>11</v>
      </c>
      <c r="AE8" s="24" t="n">
        <v>5</v>
      </c>
      <c r="AF8" s="24" t="n">
        <v>5</v>
      </c>
      <c r="AG8" s="24" t="n">
        <v>4</v>
      </c>
      <c r="AH8" s="24" t="n">
        <v>4</v>
      </c>
    </row>
    <row r="9" customFormat="false" ht="18.75" hidden="false" customHeight="true" outlineLevel="0" collapsed="false">
      <c r="A9" s="23" t="s">
        <v>267</v>
      </c>
      <c r="B9" s="23" t="s">
        <v>268</v>
      </c>
      <c r="C9" s="23" t="s">
        <v>269</v>
      </c>
      <c r="D9" s="26" t="n">
        <v>19</v>
      </c>
      <c r="E9" s="26" t="n">
        <v>1.2</v>
      </c>
      <c r="F9" s="26" t="n">
        <v>68</v>
      </c>
      <c r="G9" s="26" t="n">
        <v>0</v>
      </c>
      <c r="H9" s="26" t="n">
        <v>97</v>
      </c>
      <c r="I9" s="63" t="n">
        <v>41</v>
      </c>
      <c r="J9" s="63" t="n">
        <v>94</v>
      </c>
      <c r="K9" s="64" t="n">
        <v>1</v>
      </c>
      <c r="L9" s="64" t="n">
        <v>1</v>
      </c>
      <c r="M9" s="63" t="n">
        <v>0</v>
      </c>
      <c r="N9" s="63" t="n">
        <v>12</v>
      </c>
      <c r="O9" s="65" t="n">
        <v>29</v>
      </c>
      <c r="P9" s="65" t="n">
        <v>4.3</v>
      </c>
      <c r="Q9" s="65" t="n">
        <v>87</v>
      </c>
      <c r="R9" s="65" t="n">
        <v>84</v>
      </c>
      <c r="S9" s="65" t="n">
        <v>0</v>
      </c>
      <c r="T9" s="65" t="n">
        <v>0</v>
      </c>
      <c r="U9" s="65" t="n">
        <v>14</v>
      </c>
      <c r="V9" s="24" t="n">
        <v>0</v>
      </c>
      <c r="W9" s="24" t="s">
        <v>260</v>
      </c>
      <c r="X9" s="24" t="n">
        <v>94</v>
      </c>
      <c r="Y9" s="24" t="n">
        <v>18</v>
      </c>
      <c r="Z9" s="24" t="n">
        <v>22</v>
      </c>
      <c r="AA9" s="24" t="n">
        <v>16</v>
      </c>
      <c r="AB9" s="24" t="n">
        <v>13</v>
      </c>
      <c r="AC9" s="24" t="n">
        <v>6</v>
      </c>
      <c r="AD9" s="24" t="n">
        <v>14</v>
      </c>
      <c r="AE9" s="24" t="n">
        <v>6</v>
      </c>
      <c r="AF9" s="24" t="n">
        <v>6</v>
      </c>
      <c r="AG9" s="24" t="n">
        <v>5</v>
      </c>
      <c r="AH9" s="24" t="n">
        <v>5</v>
      </c>
    </row>
    <row r="10" customFormat="false" ht="18.75" hidden="false" customHeight="true" outlineLevel="0" collapsed="false">
      <c r="A10" s="28" t="s">
        <v>270</v>
      </c>
      <c r="B10" s="66"/>
      <c r="C10" s="66"/>
      <c r="D10" s="67"/>
      <c r="E10" s="67"/>
      <c r="F10" s="67"/>
      <c r="G10" s="67"/>
      <c r="H10" s="67"/>
      <c r="I10" s="68"/>
      <c r="J10" s="68"/>
      <c r="K10" s="69"/>
      <c r="L10" s="69"/>
      <c r="M10" s="68"/>
      <c r="N10" s="68"/>
      <c r="O10" s="70"/>
      <c r="P10" s="70"/>
      <c r="Q10" s="70"/>
      <c r="R10" s="70"/>
      <c r="S10" s="70"/>
      <c r="T10" s="70"/>
      <c r="U10" s="70"/>
      <c r="V10" s="71"/>
      <c r="W10" s="71"/>
      <c r="X10" s="71"/>
      <c r="Y10" s="71"/>
      <c r="Z10" s="71"/>
      <c r="AA10" s="71"/>
      <c r="AB10" s="71"/>
      <c r="AC10" s="71"/>
      <c r="AD10" s="71"/>
      <c r="AE10" s="71"/>
      <c r="AF10" s="71"/>
    </row>
    <row r="11" customFormat="false" ht="18.75" hidden="false" customHeight="true" outlineLevel="0" collapsed="false">
      <c r="A11" s="28" t="s">
        <v>271</v>
      </c>
      <c r="B11" s="66"/>
      <c r="C11" s="66"/>
      <c r="D11" s="67"/>
      <c r="E11" s="67"/>
      <c r="F11" s="67"/>
      <c r="G11" s="67"/>
      <c r="H11" s="67"/>
      <c r="I11" s="68"/>
      <c r="J11" s="68"/>
      <c r="K11" s="69"/>
      <c r="L11" s="69"/>
      <c r="M11" s="68"/>
      <c r="N11" s="68"/>
      <c r="O11" s="70"/>
      <c r="P11" s="70"/>
      <c r="Q11" s="70"/>
      <c r="R11" s="70"/>
      <c r="S11" s="70"/>
      <c r="T11" s="70"/>
      <c r="U11" s="70"/>
      <c r="V11" s="71"/>
      <c r="W11" s="71"/>
      <c r="X11" s="71"/>
      <c r="Y11" s="71"/>
      <c r="Z11" s="71"/>
      <c r="AA11" s="71"/>
      <c r="AB11" s="71"/>
      <c r="AC11" s="71"/>
      <c r="AD11" s="71"/>
      <c r="AE11" s="71"/>
      <c r="AF11" s="71"/>
    </row>
    <row r="12" customFormat="false" ht="18.75" hidden="false" customHeight="true" outlineLevel="0" collapsed="false">
      <c r="A12" s="28" t="s">
        <v>272</v>
      </c>
      <c r="B12" s="66"/>
      <c r="C12" s="66"/>
      <c r="D12" s="67"/>
      <c r="E12" s="67"/>
      <c r="F12" s="67"/>
      <c r="G12" s="67"/>
      <c r="H12" s="67"/>
      <c r="I12" s="68"/>
      <c r="J12" s="68"/>
      <c r="K12" s="69"/>
      <c r="L12" s="69"/>
      <c r="M12" s="68"/>
      <c r="N12" s="68"/>
      <c r="O12" s="70"/>
      <c r="P12" s="70"/>
      <c r="Q12" s="70"/>
      <c r="R12" s="70"/>
      <c r="S12" s="70"/>
      <c r="T12" s="70"/>
      <c r="U12" s="70"/>
      <c r="V12" s="71"/>
      <c r="W12" s="71"/>
      <c r="X12" s="71"/>
      <c r="Y12" s="71"/>
      <c r="Z12" s="71"/>
      <c r="AA12" s="71"/>
      <c r="AB12" s="71"/>
      <c r="AC12" s="71"/>
      <c r="AD12" s="71"/>
      <c r="AE12" s="71"/>
      <c r="AF12" s="71"/>
    </row>
    <row r="13" customFormat="false" ht="18.75" hidden="false" customHeight="true" outlineLevel="0" collapsed="false">
      <c r="A13" s="28" t="s">
        <v>273</v>
      </c>
      <c r="B13" s="66"/>
      <c r="C13" s="66"/>
      <c r="D13" s="67"/>
      <c r="E13" s="67"/>
      <c r="F13" s="67"/>
      <c r="G13" s="67"/>
      <c r="H13" s="67"/>
      <c r="I13" s="68"/>
      <c r="J13" s="68"/>
      <c r="K13" s="69"/>
      <c r="L13" s="69"/>
      <c r="M13" s="68"/>
      <c r="N13" s="68"/>
      <c r="O13" s="70"/>
      <c r="P13" s="70"/>
      <c r="Q13" s="70"/>
      <c r="R13" s="70"/>
      <c r="S13" s="70"/>
      <c r="T13" s="70"/>
      <c r="U13" s="70"/>
      <c r="V13" s="71"/>
      <c r="W13" s="71"/>
      <c r="X13" s="71"/>
      <c r="Y13" s="71"/>
      <c r="Z13" s="71"/>
      <c r="AA13" s="71"/>
      <c r="AB13" s="71"/>
      <c r="AC13" s="71"/>
      <c r="AD13" s="71"/>
      <c r="AE13" s="71"/>
      <c r="AF13" s="71"/>
    </row>
    <row r="14" customFormat="false" ht="18.75" hidden="false" customHeight="true" outlineLevel="0" collapsed="false">
      <c r="A14" s="28" t="s">
        <v>274</v>
      </c>
      <c r="B14" s="66"/>
      <c r="C14" s="66"/>
      <c r="D14" s="67"/>
      <c r="E14" s="67"/>
      <c r="F14" s="67"/>
      <c r="G14" s="67"/>
      <c r="H14" s="67"/>
      <c r="I14" s="68"/>
      <c r="J14" s="68"/>
      <c r="K14" s="69"/>
      <c r="L14" s="69"/>
      <c r="M14" s="68"/>
      <c r="N14" s="68"/>
      <c r="O14" s="70"/>
      <c r="P14" s="70"/>
      <c r="Q14" s="70"/>
      <c r="R14" s="70"/>
      <c r="S14" s="70"/>
      <c r="T14" s="70"/>
      <c r="U14" s="70"/>
      <c r="V14" s="71"/>
      <c r="W14" s="71"/>
      <c r="X14" s="71"/>
      <c r="Y14" s="71"/>
      <c r="Z14" s="71"/>
      <c r="AA14" s="71"/>
      <c r="AB14" s="71"/>
      <c r="AC14" s="71"/>
      <c r="AD14" s="71"/>
      <c r="AE14" s="71"/>
      <c r="AF14" s="71"/>
    </row>
    <row r="15" customFormat="false" ht="18.75" hidden="false" customHeight="true" outlineLevel="0" collapsed="false">
      <c r="A15" s="28" t="s">
        <v>275</v>
      </c>
      <c r="B15" s="66"/>
      <c r="C15" s="66"/>
      <c r="D15" s="67"/>
      <c r="E15" s="67"/>
      <c r="F15" s="67"/>
      <c r="G15" s="67"/>
      <c r="H15" s="67"/>
      <c r="I15" s="68"/>
      <c r="J15" s="68"/>
      <c r="K15" s="69"/>
      <c r="L15" s="69"/>
      <c r="M15" s="68"/>
      <c r="N15" s="68"/>
      <c r="O15" s="70"/>
      <c r="P15" s="70"/>
      <c r="Q15" s="70"/>
      <c r="R15" s="70"/>
      <c r="S15" s="70"/>
      <c r="T15" s="70"/>
      <c r="U15" s="70"/>
      <c r="V15" s="71"/>
      <c r="W15" s="71"/>
      <c r="X15" s="71"/>
      <c r="Y15" s="71"/>
      <c r="Z15" s="71"/>
      <c r="AA15" s="71"/>
      <c r="AB15" s="71"/>
      <c r="AC15" s="71"/>
      <c r="AD15" s="71"/>
      <c r="AE15" s="71"/>
      <c r="AF15" s="71"/>
    </row>
    <row r="16" customFormat="false" ht="18.75" hidden="false" customHeight="true" outlineLevel="0" collapsed="false">
      <c r="A16" s="28" t="s">
        <v>276</v>
      </c>
      <c r="B16" s="66"/>
      <c r="C16" s="66"/>
      <c r="D16" s="67"/>
      <c r="E16" s="67"/>
      <c r="F16" s="67"/>
      <c r="G16" s="67"/>
      <c r="H16" s="67"/>
      <c r="I16" s="68"/>
      <c r="J16" s="68"/>
      <c r="K16" s="69"/>
      <c r="L16" s="69"/>
      <c r="M16" s="68"/>
      <c r="N16" s="68"/>
      <c r="O16" s="70"/>
      <c r="P16" s="70"/>
      <c r="Q16" s="70"/>
      <c r="R16" s="70"/>
      <c r="S16" s="70"/>
      <c r="T16" s="70"/>
      <c r="U16" s="70"/>
      <c r="V16" s="71"/>
      <c r="W16" s="71"/>
      <c r="X16" s="71"/>
      <c r="Y16" s="71"/>
      <c r="Z16" s="71"/>
      <c r="AA16" s="71"/>
      <c r="AB16" s="71"/>
      <c r="AC16" s="71"/>
      <c r="AD16" s="71"/>
      <c r="AE16" s="71"/>
      <c r="AF16" s="71"/>
    </row>
    <row r="17" customFormat="false" ht="18.75" hidden="false" customHeight="true" outlineLevel="0" collapsed="false">
      <c r="A17" s="28" t="s">
        <v>277</v>
      </c>
      <c r="B17" s="66"/>
      <c r="C17" s="66"/>
      <c r="D17" s="67"/>
      <c r="E17" s="67"/>
      <c r="F17" s="67"/>
      <c r="G17" s="67"/>
      <c r="H17" s="67"/>
      <c r="I17" s="68"/>
      <c r="J17" s="68"/>
      <c r="K17" s="69"/>
      <c r="L17" s="69"/>
      <c r="M17" s="68"/>
      <c r="N17" s="68"/>
      <c r="O17" s="70"/>
      <c r="P17" s="70"/>
      <c r="Q17" s="70"/>
      <c r="R17" s="70"/>
      <c r="S17" s="70"/>
      <c r="T17" s="70"/>
      <c r="U17" s="70"/>
      <c r="V17" s="71"/>
      <c r="W17" s="71"/>
      <c r="X17" s="71"/>
      <c r="Y17" s="71"/>
      <c r="Z17" s="71"/>
      <c r="AA17" s="71"/>
      <c r="AB17" s="71"/>
      <c r="AC17" s="71"/>
      <c r="AD17" s="71"/>
      <c r="AE17" s="71"/>
      <c r="AF17" s="71"/>
    </row>
    <row r="18" customFormat="false" ht="18.75" hidden="false" customHeight="true" outlineLevel="0" collapsed="false">
      <c r="A18" s="28" t="s">
        <v>278</v>
      </c>
      <c r="B18" s="66"/>
      <c r="C18" s="66"/>
      <c r="D18" s="67"/>
      <c r="E18" s="67"/>
      <c r="F18" s="67"/>
      <c r="G18" s="67"/>
      <c r="H18" s="67"/>
      <c r="I18" s="68"/>
      <c r="J18" s="68"/>
      <c r="K18" s="69"/>
      <c r="L18" s="69"/>
      <c r="M18" s="68"/>
      <c r="N18" s="68"/>
      <c r="O18" s="70"/>
      <c r="P18" s="70"/>
      <c r="Q18" s="70"/>
      <c r="R18" s="70"/>
      <c r="S18" s="70"/>
      <c r="T18" s="70"/>
      <c r="U18" s="70"/>
      <c r="V18" s="71"/>
      <c r="W18" s="71"/>
      <c r="X18" s="71"/>
      <c r="Y18" s="71"/>
      <c r="Z18" s="71"/>
      <c r="AA18" s="71"/>
      <c r="AB18" s="71"/>
      <c r="AC18" s="71"/>
      <c r="AD18" s="71"/>
      <c r="AE18" s="71"/>
      <c r="AF18" s="71"/>
    </row>
    <row r="19" customFormat="false" ht="18.75" hidden="false" customHeight="true" outlineLevel="0" collapsed="false">
      <c r="A19" s="28" t="s">
        <v>279</v>
      </c>
      <c r="B19" s="66"/>
      <c r="C19" s="66"/>
      <c r="D19" s="67"/>
      <c r="E19" s="67"/>
      <c r="F19" s="67"/>
      <c r="G19" s="67"/>
      <c r="H19" s="67"/>
      <c r="I19" s="68"/>
      <c r="J19" s="68"/>
      <c r="K19" s="69"/>
      <c r="L19" s="69"/>
      <c r="M19" s="68"/>
      <c r="N19" s="68"/>
      <c r="O19" s="70"/>
      <c r="P19" s="70"/>
      <c r="Q19" s="70"/>
      <c r="R19" s="70"/>
      <c r="S19" s="70"/>
      <c r="T19" s="70"/>
      <c r="U19" s="70"/>
      <c r="V19" s="71"/>
      <c r="W19" s="71"/>
      <c r="X19" s="71"/>
      <c r="Y19" s="71"/>
      <c r="Z19" s="71"/>
      <c r="AA19" s="71"/>
      <c r="AB19" s="71"/>
      <c r="AC19" s="71"/>
      <c r="AD19" s="71"/>
      <c r="AE19" s="71"/>
      <c r="AF19" s="71"/>
    </row>
    <row r="20" customFormat="false" ht="18.75" hidden="false" customHeight="true" outlineLevel="0" collapsed="false">
      <c r="A20" s="28" t="s">
        <v>280</v>
      </c>
      <c r="B20" s="66"/>
      <c r="C20" s="66"/>
      <c r="D20" s="67"/>
      <c r="E20" s="67"/>
      <c r="F20" s="67"/>
      <c r="G20" s="67"/>
      <c r="H20" s="67"/>
      <c r="I20" s="68"/>
      <c r="J20" s="68"/>
      <c r="K20" s="69"/>
      <c r="L20" s="69"/>
      <c r="M20" s="68"/>
      <c r="N20" s="68"/>
      <c r="O20" s="70"/>
      <c r="P20" s="70"/>
      <c r="Q20" s="70"/>
      <c r="R20" s="70"/>
      <c r="S20" s="70"/>
      <c r="T20" s="70"/>
      <c r="U20" s="70"/>
      <c r="V20" s="71"/>
      <c r="W20" s="71"/>
      <c r="X20" s="71"/>
      <c r="Y20" s="71"/>
      <c r="Z20" s="71"/>
      <c r="AA20" s="71"/>
      <c r="AB20" s="71"/>
      <c r="AC20" s="71"/>
      <c r="AD20" s="71"/>
      <c r="AE20" s="71"/>
      <c r="AF20" s="71"/>
    </row>
    <row r="21" customFormat="false" ht="18.75" hidden="false" customHeight="true" outlineLevel="0" collapsed="false">
      <c r="A21" s="28" t="s">
        <v>281</v>
      </c>
      <c r="B21" s="66"/>
      <c r="C21" s="66"/>
      <c r="D21" s="67"/>
      <c r="E21" s="67"/>
      <c r="F21" s="67"/>
      <c r="G21" s="67"/>
      <c r="H21" s="67"/>
      <c r="I21" s="68"/>
      <c r="J21" s="68"/>
      <c r="K21" s="69"/>
      <c r="L21" s="69"/>
      <c r="M21" s="68"/>
      <c r="N21" s="68"/>
      <c r="O21" s="70"/>
      <c r="P21" s="70"/>
      <c r="Q21" s="70"/>
      <c r="R21" s="70"/>
      <c r="S21" s="70"/>
      <c r="T21" s="70"/>
      <c r="U21" s="70"/>
      <c r="V21" s="71"/>
      <c r="W21" s="71"/>
      <c r="X21" s="71"/>
      <c r="Y21" s="71"/>
      <c r="Z21" s="71"/>
      <c r="AA21" s="71"/>
      <c r="AB21" s="71"/>
      <c r="AC21" s="71"/>
      <c r="AD21" s="71"/>
      <c r="AE21" s="71"/>
      <c r="AF21" s="71"/>
    </row>
    <row r="22" customFormat="false" ht="18.75" hidden="false" customHeight="true" outlineLevel="0" collapsed="false">
      <c r="A22" s="28" t="s">
        <v>282</v>
      </c>
      <c r="B22" s="66"/>
      <c r="C22" s="66"/>
      <c r="D22" s="67"/>
      <c r="E22" s="67"/>
      <c r="F22" s="67"/>
      <c r="G22" s="67"/>
      <c r="H22" s="67"/>
      <c r="I22" s="68"/>
      <c r="J22" s="68"/>
      <c r="K22" s="69"/>
      <c r="L22" s="69"/>
      <c r="M22" s="68"/>
      <c r="N22" s="68"/>
      <c r="O22" s="70"/>
      <c r="P22" s="70"/>
      <c r="Q22" s="70"/>
      <c r="R22" s="70"/>
      <c r="S22" s="70"/>
      <c r="T22" s="70"/>
      <c r="U22" s="70"/>
      <c r="V22" s="71"/>
      <c r="W22" s="71"/>
      <c r="X22" s="71"/>
      <c r="Y22" s="71"/>
      <c r="Z22" s="71"/>
      <c r="AA22" s="71"/>
      <c r="AB22" s="71"/>
      <c r="AC22" s="71"/>
      <c r="AD22" s="71"/>
      <c r="AE22" s="71"/>
      <c r="AF22" s="71"/>
    </row>
    <row r="23" customFormat="false" ht="18.75" hidden="false" customHeight="true" outlineLevel="0" collapsed="false">
      <c r="A23" s="28" t="s">
        <v>283</v>
      </c>
      <c r="B23" s="66"/>
      <c r="C23" s="66"/>
      <c r="D23" s="67"/>
      <c r="E23" s="67"/>
      <c r="F23" s="67"/>
      <c r="G23" s="67"/>
      <c r="H23" s="67"/>
      <c r="I23" s="68"/>
      <c r="J23" s="68"/>
      <c r="K23" s="69"/>
      <c r="L23" s="69"/>
      <c r="M23" s="68"/>
      <c r="N23" s="68"/>
      <c r="O23" s="70"/>
      <c r="P23" s="70"/>
      <c r="Q23" s="70"/>
      <c r="R23" s="70"/>
      <c r="S23" s="70"/>
      <c r="T23" s="70"/>
      <c r="U23" s="70"/>
      <c r="V23" s="71"/>
      <c r="W23" s="71"/>
      <c r="X23" s="71"/>
      <c r="Y23" s="71"/>
      <c r="Z23" s="71"/>
      <c r="AA23" s="71"/>
      <c r="AB23" s="71"/>
      <c r="AC23" s="71"/>
      <c r="AD23" s="71"/>
      <c r="AE23" s="71"/>
      <c r="AF23" s="71"/>
    </row>
    <row r="24" customFormat="false" ht="18.75" hidden="false" customHeight="true" outlineLevel="0" collapsed="false">
      <c r="A24" s="28" t="s">
        <v>284</v>
      </c>
      <c r="B24" s="66"/>
      <c r="C24" s="66"/>
      <c r="D24" s="67"/>
      <c r="E24" s="67"/>
      <c r="F24" s="67"/>
      <c r="G24" s="67"/>
      <c r="H24" s="67"/>
      <c r="I24" s="68"/>
      <c r="J24" s="68"/>
      <c r="K24" s="69"/>
      <c r="L24" s="69"/>
      <c r="M24" s="68"/>
      <c r="N24" s="68"/>
      <c r="O24" s="70"/>
      <c r="P24" s="70"/>
      <c r="Q24" s="70"/>
      <c r="R24" s="70"/>
      <c r="S24" s="70"/>
      <c r="T24" s="70"/>
      <c r="U24" s="70"/>
      <c r="V24" s="71"/>
      <c r="W24" s="71"/>
      <c r="X24" s="71"/>
      <c r="Y24" s="71"/>
      <c r="Z24" s="71"/>
      <c r="AA24" s="71"/>
      <c r="AB24" s="71"/>
      <c r="AC24" s="71"/>
      <c r="AD24" s="71"/>
      <c r="AE24" s="71"/>
      <c r="AF24" s="71"/>
    </row>
    <row r="25" customFormat="false" ht="18.75" hidden="false" customHeight="true" outlineLevel="0" collapsed="false">
      <c r="A25" s="28" t="s">
        <v>285</v>
      </c>
      <c r="B25" s="66"/>
      <c r="C25" s="66"/>
      <c r="D25" s="67"/>
      <c r="E25" s="67"/>
      <c r="F25" s="67"/>
      <c r="G25" s="67"/>
      <c r="H25" s="67"/>
      <c r="I25" s="68"/>
      <c r="J25" s="68"/>
      <c r="K25" s="69"/>
      <c r="L25" s="69"/>
      <c r="M25" s="68"/>
      <c r="N25" s="68"/>
      <c r="O25" s="70"/>
      <c r="P25" s="70"/>
      <c r="Q25" s="70"/>
      <c r="R25" s="70"/>
      <c r="S25" s="70"/>
      <c r="T25" s="70"/>
      <c r="U25" s="70"/>
      <c r="V25" s="71"/>
      <c r="W25" s="71"/>
      <c r="X25" s="71"/>
      <c r="Y25" s="71"/>
      <c r="Z25" s="71"/>
      <c r="AA25" s="71"/>
      <c r="AB25" s="71"/>
      <c r="AC25" s="71"/>
      <c r="AD25" s="71"/>
      <c r="AE25" s="71"/>
      <c r="AF25" s="71"/>
    </row>
  </sheetData>
  <mergeCells count="8">
    <mergeCell ref="A1:AF1"/>
    <mergeCell ref="A2:AF2"/>
    <mergeCell ref="A3:C3"/>
    <mergeCell ref="D3:H3"/>
    <mergeCell ref="I3:N3"/>
    <mergeCell ref="O3:P3"/>
    <mergeCell ref="Q3:W3"/>
    <mergeCell ref="X3:AF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23"/>
  <sheetViews>
    <sheetView showFormulas="false" showGridLines="true" showRowColHeaders="true" showZeros="true" rightToLeft="false" tabSelected="false" showOutlineSymbols="true" defaultGridColor="true" view="normal" topLeftCell="A1" colorId="64" zoomScale="88" zoomScaleNormal="88"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0" min="2" style="0" width="13"/>
  </cols>
  <sheetData>
    <row r="1" customFormat="false" ht="30" hidden="false" customHeight="true" outlineLevel="0" collapsed="false">
      <c r="A1" s="14" t="s">
        <v>286</v>
      </c>
      <c r="B1" s="14"/>
      <c r="C1" s="14"/>
      <c r="D1" s="14"/>
      <c r="E1" s="14"/>
      <c r="F1" s="14"/>
      <c r="G1" s="14"/>
      <c r="H1" s="14"/>
      <c r="I1" s="14"/>
      <c r="J1" s="14"/>
      <c r="K1" s="14"/>
      <c r="L1" s="14"/>
      <c r="M1" s="14"/>
      <c r="N1" s="14"/>
      <c r="O1" s="14"/>
      <c r="P1" s="14"/>
      <c r="Q1" s="14"/>
      <c r="R1" s="14"/>
      <c r="S1" s="14"/>
      <c r="T1" s="14"/>
    </row>
    <row r="2" customFormat="false" ht="18" hidden="false" customHeight="true" outlineLevel="0" collapsed="false">
      <c r="A2" s="2" t="s">
        <v>287</v>
      </c>
      <c r="B2" s="2"/>
      <c r="C2" s="2"/>
      <c r="D2" s="2"/>
      <c r="E2" s="2"/>
      <c r="F2" s="2"/>
      <c r="G2" s="2"/>
      <c r="H2" s="2"/>
      <c r="I2" s="2"/>
      <c r="J2" s="2"/>
      <c r="K2" s="2"/>
      <c r="L2" s="2"/>
      <c r="M2" s="2"/>
      <c r="N2" s="2"/>
      <c r="O2" s="2"/>
      <c r="P2" s="2"/>
      <c r="Q2" s="2"/>
      <c r="R2" s="2"/>
      <c r="S2" s="2"/>
      <c r="T2" s="2"/>
    </row>
    <row r="3" customFormat="false" ht="43.5" hidden="false" customHeight="true" outlineLevel="0" collapsed="false">
      <c r="A3" s="72" t="s">
        <v>288</v>
      </c>
      <c r="B3" s="73" t="s">
        <v>289</v>
      </c>
      <c r="C3" s="73" t="s">
        <v>290</v>
      </c>
      <c r="D3" s="73" t="s">
        <v>291</v>
      </c>
      <c r="E3" s="73" t="s">
        <v>292</v>
      </c>
      <c r="F3" s="73" t="s">
        <v>293</v>
      </c>
      <c r="G3" s="74" t="s">
        <v>294</v>
      </c>
      <c r="H3" s="74" t="s">
        <v>295</v>
      </c>
      <c r="I3" s="75" t="s">
        <v>296</v>
      </c>
      <c r="J3" s="75" t="s">
        <v>297</v>
      </c>
      <c r="K3" s="75" t="s">
        <v>298</v>
      </c>
      <c r="L3" s="74" t="s">
        <v>299</v>
      </c>
      <c r="M3" s="74" t="s">
        <v>300</v>
      </c>
      <c r="N3" s="76" t="s">
        <v>301</v>
      </c>
      <c r="O3" s="76" t="s">
        <v>302</v>
      </c>
      <c r="P3" s="76" t="s">
        <v>303</v>
      </c>
      <c r="Q3" s="76" t="s">
        <v>304</v>
      </c>
      <c r="R3" s="76" t="s">
        <v>305</v>
      </c>
      <c r="S3" s="77" t="s">
        <v>306</v>
      </c>
      <c r="T3" s="77" t="s">
        <v>307</v>
      </c>
    </row>
    <row r="4" customFormat="false" ht="18.75" hidden="false" customHeight="true" outlineLevel="0" collapsed="false">
      <c r="A4" s="78" t="str">
        <f aca="false">'Data Input'!A6</f>
        <v>2026-W14</v>
      </c>
      <c r="B4" s="79" t="s">
        <v>308</v>
      </c>
      <c r="C4" s="79" t="s">
        <v>308</v>
      </c>
      <c r="D4" s="79" t="s">
        <v>308</v>
      </c>
      <c r="E4" s="79" t="s">
        <v>308</v>
      </c>
      <c r="F4" s="79" t="s">
        <v>308</v>
      </c>
      <c r="G4" s="79" t="s">
        <v>308</v>
      </c>
      <c r="H4" s="79" t="s">
        <v>308</v>
      </c>
      <c r="I4" s="79" t="s">
        <v>308</v>
      </c>
      <c r="J4" s="79" t="s">
        <v>308</v>
      </c>
      <c r="K4" s="79" t="s">
        <v>308</v>
      </c>
      <c r="L4" s="79" t="s">
        <v>308</v>
      </c>
      <c r="M4" s="79" t="s">
        <v>308</v>
      </c>
      <c r="N4" s="79" t="s">
        <v>308</v>
      </c>
      <c r="O4" s="79" t="s">
        <v>308</v>
      </c>
      <c r="P4" s="79" t="s">
        <v>308</v>
      </c>
      <c r="Q4" s="79" t="s">
        <v>308</v>
      </c>
      <c r="R4" s="79" t="s">
        <v>308</v>
      </c>
      <c r="S4" s="79" t="s">
        <v>308</v>
      </c>
      <c r="T4" s="79" t="s">
        <v>308</v>
      </c>
    </row>
    <row r="5" customFormat="false" ht="18.75" hidden="false" customHeight="true" outlineLevel="0" collapsed="false">
      <c r="A5" s="78" t="str">
        <f aca="false">'Data Input'!A7</f>
        <v>2026-W15</v>
      </c>
      <c r="B5" s="80" t="n">
        <f aca="false">IFERROR(('Data Input'!D7-'Data Input'!D6)/'Data Input'!D6*100,"")</f>
        <v>50</v>
      </c>
      <c r="C5" s="80" t="n">
        <f aca="false">IFERROR(('Data Input'!E6-'Data Input'!E7)/'Data Input'!E6*100,"")</f>
        <v>14.2857142857143</v>
      </c>
      <c r="D5" s="80" t="n">
        <f aca="false">IFERROR(('Data Input'!F7-'Data Input'!F6)/'Data Input'!F6*100,"")</f>
        <v>41.1764705882353</v>
      </c>
      <c r="E5" s="80" t="n">
        <f aca="false">IFERROR(('Data Input'!G6-'Data Input'!G7)/'Data Input'!G6*100,"")</f>
        <v>33.3333333333333</v>
      </c>
      <c r="F5" s="80" t="n">
        <f aca="false">IFERROR(('Data Input'!H7-'Data Input'!H6)/'Data Input'!H6*100,"")</f>
        <v>3.40909090909091</v>
      </c>
      <c r="G5" s="80" t="n">
        <f aca="false">IFERROR(('Data Input'!I7-'Data Input'!I6)/'Data Input'!I6*100,"")</f>
        <v>50</v>
      </c>
      <c r="H5" s="80" t="n">
        <f aca="false">IFERROR(('Data Input'!J7-'Data Input'!J6)/'Data Input'!J6*100,"")</f>
        <v>45.2380952380952</v>
      </c>
      <c r="I5" s="80" t="n">
        <f aca="false">IFERROR(('Data Input'!K7-'Data Input'!K6)/'Data Input'!K6*100,"")</f>
        <v>-40</v>
      </c>
      <c r="J5" s="80" t="n">
        <f aca="false">IFERROR(('Data Input'!L7-'Data Input'!L6)/'Data Input'!L6*100,"")</f>
        <v>-33.3333333333333</v>
      </c>
      <c r="K5" s="80" t="n">
        <f aca="false">IFERROR((('Data Input'!K7/'Team Registry'!C3)-('Data Input'!L7/'Team Registry'!D3))/('Data Input'!L7/'Team Registry'!D3)*100,"")</f>
        <v>250</v>
      </c>
      <c r="L5" s="80" t="n">
        <f aca="false">IFERROR(('Data Input'!M6-'Data Input'!M7)/'Data Input'!M6*100,"")</f>
        <v>50</v>
      </c>
      <c r="M5" s="80" t="n">
        <f aca="false">IFERROR(('Data Input'!N6-'Data Input'!N7)/'Data Input'!N6*100,"")</f>
        <v>-16.6666666666667</v>
      </c>
      <c r="N5" s="80" t="n">
        <f aca="false">IFERROR(('Data Input'!O7-'Data Input'!O6)/'Data Input'!O6*100,"")</f>
        <v>66.6666666666667</v>
      </c>
      <c r="O5" s="80" t="n">
        <f aca="false">IFERROR(('Data Input'!P7-'Data Input'!P6)/'Data Input'!P6*100,"")</f>
        <v>-6.45161290322581</v>
      </c>
      <c r="P5" s="80" t="n">
        <f aca="false">IFERROR(('Data Input'!Q6-'Data Input'!Q7)/'Data Input'!Q6*100,"")</f>
        <v>-5.63380281690141</v>
      </c>
      <c r="Q5" s="80" t="n">
        <f aca="false">IFERROR(('Data Input'!R6-'Data Input'!R7)/'Data Input'!R6*100,"")</f>
        <v>-5.88235294117647</v>
      </c>
      <c r="R5" s="80" t="n">
        <f aca="false">IFERROR(('Data Input'!S6-'Data Input'!S7)/'Data Input'!S6*100,"")</f>
        <v>50</v>
      </c>
      <c r="S5" s="80" t="n">
        <f aca="false">IFERROR(('Data Input'!V7-'Data Input'!V6)/'Data Input'!V6*100,"")</f>
        <v>-50</v>
      </c>
      <c r="T5" s="80" t="n">
        <f aca="false">IFERROR(('Data Input'!V7*1.5-'Data Input'!V6*1.5)/'Data Input'!V6/1.5*100,"")</f>
        <v>-50</v>
      </c>
    </row>
    <row r="6" customFormat="false" ht="18.75" hidden="false" customHeight="true" outlineLevel="0" collapsed="false">
      <c r="A6" s="78" t="str">
        <f aca="false">'Data Input'!A8</f>
        <v>2026-W16</v>
      </c>
      <c r="B6" s="80" t="n">
        <f aca="false">IFERROR(('Data Input'!D8-'Data Input'!D7)/'Data Input'!D7*100,"")</f>
        <v>25</v>
      </c>
      <c r="C6" s="80" t="n">
        <f aca="false">IFERROR(('Data Input'!E7-'Data Input'!E8)/'Data Input'!E7*100,"")</f>
        <v>16.6666666666667</v>
      </c>
      <c r="D6" s="80" t="n">
        <f aca="false">IFERROR(('Data Input'!F8-'Data Input'!F7)/'Data Input'!F7*100,"")</f>
        <v>18.75</v>
      </c>
      <c r="E6" s="80" t="n">
        <f aca="false">IFERROR(('Data Input'!G7-'Data Input'!G8)/'Data Input'!G7*100,"")</f>
        <v>50</v>
      </c>
      <c r="F6" s="80" t="n">
        <f aca="false">IFERROR(('Data Input'!H8-'Data Input'!H7)/'Data Input'!H7*100,"")</f>
        <v>3.2967032967033</v>
      </c>
      <c r="G6" s="80" t="n">
        <f aca="false">IFERROR(('Data Input'!I8-'Data Input'!I7)/'Data Input'!I7*100,"")</f>
        <v>25.9259259259259</v>
      </c>
      <c r="H6" s="80" t="n">
        <f aca="false">IFERROR(('Data Input'!J8-'Data Input'!J7)/'Data Input'!J7*100,"")</f>
        <v>27.8688524590164</v>
      </c>
      <c r="I6" s="80" t="n">
        <f aca="false">IFERROR(('Data Input'!K8-'Data Input'!K7)/'Data Input'!K7*100,"")</f>
        <v>-33.3333333333333</v>
      </c>
      <c r="J6" s="80" t="n">
        <f aca="false">IFERROR(('Data Input'!L8-'Data Input'!L7)/'Data Input'!L7*100,"")</f>
        <v>-50</v>
      </c>
      <c r="K6" s="80" t="n">
        <f aca="false">IFERROR((('Data Input'!K8/'Team Registry'!C3)-('Data Input'!L8/'Team Registry'!D3))/('Data Input'!L8/'Team Registry'!D3)*100,"")</f>
        <v>366.666666666667</v>
      </c>
      <c r="L6" s="80" t="n">
        <f aca="false">IFERROR(('Data Input'!M7-'Data Input'!M8)/'Data Input'!M7*100,"")</f>
        <v>0</v>
      </c>
      <c r="M6" s="80" t="n">
        <f aca="false">IFERROR(('Data Input'!N7-'Data Input'!N8)/'Data Input'!N7*100,"")</f>
        <v>-28.5714285714286</v>
      </c>
      <c r="N6" s="80" t="n">
        <f aca="false">IFERROR(('Data Input'!O8-'Data Input'!O7)/'Data Input'!O7*100,"")</f>
        <v>25</v>
      </c>
      <c r="O6" s="80" t="n">
        <f aca="false">IFERROR(('Data Input'!P8-'Data Input'!P7)/'Data Input'!P7*100,"")</f>
        <v>-12.0689655172414</v>
      </c>
      <c r="P6" s="80" t="n">
        <f aca="false">IFERROR(('Data Input'!Q7-'Data Input'!Q8)/'Data Input'!Q7*100,"")</f>
        <v>-8</v>
      </c>
      <c r="Q6" s="80" t="n">
        <f aca="false">IFERROR(('Data Input'!R7-'Data Input'!R8)/'Data Input'!R7*100,"")</f>
        <v>-8.33333333333333</v>
      </c>
      <c r="R6" s="80" t="n">
        <f aca="false">IFERROR(('Data Input'!S7-'Data Input'!S8)/'Data Input'!S7*100,"")</f>
        <v>50</v>
      </c>
      <c r="S6" s="80" t="n">
        <f aca="false">IFERROR(('Data Input'!V8-'Data Input'!V7)/'Data Input'!V7*100,"")</f>
        <v>0</v>
      </c>
      <c r="T6" s="80" t="n">
        <f aca="false">IFERROR(('Data Input'!V8*1.5-'Data Input'!V7*1.5)/'Data Input'!V7/1.5*100,"")</f>
        <v>0</v>
      </c>
    </row>
    <row r="7" customFormat="false" ht="18.75" hidden="false" customHeight="true" outlineLevel="0" collapsed="false">
      <c r="A7" s="78" t="str">
        <f aca="false">'Data Input'!A9</f>
        <v>2026-W17</v>
      </c>
      <c r="B7" s="80" t="n">
        <f aca="false">IFERROR(('Data Input'!D9-'Data Input'!D8)/'Data Input'!D8*100,"")</f>
        <v>26.6666666666667</v>
      </c>
      <c r="C7" s="80" t="n">
        <f aca="false">IFERROR(('Data Input'!E8-'Data Input'!E9)/'Data Input'!E8*100,"")</f>
        <v>20</v>
      </c>
      <c r="D7" s="80" t="n">
        <f aca="false">IFERROR(('Data Input'!F9-'Data Input'!F8)/'Data Input'!F8*100,"")</f>
        <v>19.2982456140351</v>
      </c>
      <c r="E7" s="80" t="n">
        <f aca="false">IFERROR(('Data Input'!G8-'Data Input'!G9)/'Data Input'!G8*100,"")</f>
        <v>100</v>
      </c>
      <c r="F7" s="80" t="n">
        <f aca="false">IFERROR(('Data Input'!H9-'Data Input'!H8)/'Data Input'!H8*100,"")</f>
        <v>3.19148936170213</v>
      </c>
      <c r="G7" s="80" t="n">
        <f aca="false">IFERROR(('Data Input'!I9-'Data Input'!I8)/'Data Input'!I8*100,"")</f>
        <v>20.5882352941176</v>
      </c>
      <c r="H7" s="80" t="n">
        <f aca="false">IFERROR(('Data Input'!J9-'Data Input'!J8)/'Data Input'!J8*100,"")</f>
        <v>20.5128205128205</v>
      </c>
      <c r="I7" s="80" t="n">
        <f aca="false">IFERROR(('Data Input'!K9-'Data Input'!K8)/'Data Input'!K8*100,"")</f>
        <v>-50</v>
      </c>
      <c r="J7" s="80" t="n">
        <f aca="false">IFERROR(('Data Input'!L9-'Data Input'!L8)/'Data Input'!L8*100,"")</f>
        <v>0</v>
      </c>
      <c r="K7" s="80" t="n">
        <f aca="false">IFERROR((('Data Input'!K9/'Team Registry'!C3)-('Data Input'!L9/'Team Registry'!D3))/('Data Input'!L9/'Team Registry'!D3)*100,"")</f>
        <v>133.333333333333</v>
      </c>
      <c r="L7" s="80" t="n">
        <f aca="false">IFERROR(('Data Input'!M8-'Data Input'!M9)/'Data Input'!M8*100,"")</f>
        <v>100</v>
      </c>
      <c r="M7" s="80" t="n">
        <f aca="false">IFERROR(('Data Input'!N8-'Data Input'!N9)/'Data Input'!N8*100,"")</f>
        <v>-33.3333333333333</v>
      </c>
      <c r="N7" s="80" t="n">
        <f aca="false">IFERROR(('Data Input'!O9-'Data Input'!O8)/'Data Input'!O8*100,"")</f>
        <v>16</v>
      </c>
      <c r="O7" s="80" t="n">
        <f aca="false">IFERROR(('Data Input'!P9-'Data Input'!P8)/'Data Input'!P8*100,"")</f>
        <v>-15.6862745098039</v>
      </c>
      <c r="P7" s="80" t="n">
        <f aca="false">IFERROR(('Data Input'!Q8-'Data Input'!Q9)/'Data Input'!Q8*100,"")</f>
        <v>-7.40740740740741</v>
      </c>
      <c r="Q7" s="80" t="n">
        <f aca="false">IFERROR(('Data Input'!R8-'Data Input'!R9)/'Data Input'!R8*100,"")</f>
        <v>-7.69230769230769</v>
      </c>
      <c r="R7" s="80" t="n">
        <f aca="false">IFERROR(('Data Input'!S8-'Data Input'!S9)/'Data Input'!S8*100,"")</f>
        <v>100</v>
      </c>
      <c r="S7" s="80" t="n">
        <f aca="false">IFERROR(('Data Input'!V9-'Data Input'!V8)/'Data Input'!V8*100,"")</f>
        <v>-100</v>
      </c>
      <c r="T7" s="80" t="n">
        <f aca="false">IFERROR(('Data Input'!V9*1.5-'Data Input'!V8*1.5)/'Data Input'!V8/1.5*100,"")</f>
        <v>-100</v>
      </c>
    </row>
    <row r="8" customFormat="false" ht="18.75" hidden="false" customHeight="true" outlineLevel="0" collapsed="false">
      <c r="A8" s="78" t="str">
        <f aca="false">'Data Input'!A10</f>
        <v>2026-W18</v>
      </c>
      <c r="B8" s="80" t="n">
        <f aca="false">IFERROR(('Data Input'!D10-'Data Input'!D9)/'Data Input'!D9*100,"")</f>
        <v>-100</v>
      </c>
      <c r="C8" s="80" t="n">
        <f aca="false">IFERROR(('Data Input'!E9-'Data Input'!E10)/'Data Input'!E9*100,"")</f>
        <v>100</v>
      </c>
      <c r="D8" s="80" t="n">
        <f aca="false">IFERROR(('Data Input'!F10-'Data Input'!F9)/'Data Input'!F9*100,"")</f>
        <v>-100</v>
      </c>
      <c r="E8" s="80" t="str">
        <f aca="false">IFERROR(('Data Input'!G9-'Data Input'!G10)/'Data Input'!G9*100,"")</f>
        <v/>
      </c>
      <c r="F8" s="80" t="n">
        <f aca="false">IFERROR(('Data Input'!H10-'Data Input'!H9)/'Data Input'!H9*100,"")</f>
        <v>-100</v>
      </c>
      <c r="G8" s="80" t="n">
        <f aca="false">IFERROR(('Data Input'!I10-'Data Input'!I9)/'Data Input'!I9*100,"")</f>
        <v>-100</v>
      </c>
      <c r="H8" s="80" t="n">
        <f aca="false">IFERROR(('Data Input'!J10-'Data Input'!J9)/'Data Input'!J9*100,"")</f>
        <v>-100</v>
      </c>
      <c r="I8" s="80" t="n">
        <f aca="false">IFERROR(('Data Input'!K10-'Data Input'!K9)/'Data Input'!K9*100,"")</f>
        <v>-100</v>
      </c>
      <c r="J8" s="80" t="n">
        <f aca="false">IFERROR(('Data Input'!L10-'Data Input'!L9)/'Data Input'!L9*100,"")</f>
        <v>-100</v>
      </c>
      <c r="K8" s="80" t="str">
        <f aca="false">IFERROR((('Data Input'!K10/'Team Registry'!C3)-('Data Input'!L10/'Team Registry'!D3))/('Data Input'!L10/'Team Registry'!D3)*100,"")</f>
        <v/>
      </c>
      <c r="L8" s="80" t="str">
        <f aca="false">IFERROR(('Data Input'!M9-'Data Input'!M10)/'Data Input'!M9*100,"")</f>
        <v/>
      </c>
      <c r="M8" s="80" t="n">
        <f aca="false">IFERROR(('Data Input'!N9-'Data Input'!N10)/'Data Input'!N9*100,"")</f>
        <v>100</v>
      </c>
      <c r="N8" s="80" t="n">
        <f aca="false">IFERROR(('Data Input'!O10-'Data Input'!O9)/'Data Input'!O9*100,"")</f>
        <v>-100</v>
      </c>
      <c r="O8" s="80" t="n">
        <f aca="false">IFERROR(('Data Input'!P10-'Data Input'!P9)/'Data Input'!P9*100,"")</f>
        <v>-100</v>
      </c>
      <c r="P8" s="80" t="n">
        <f aca="false">IFERROR(('Data Input'!Q9-'Data Input'!Q10)/'Data Input'!Q9*100,"")</f>
        <v>100</v>
      </c>
      <c r="Q8" s="80" t="n">
        <f aca="false">IFERROR(('Data Input'!R9-'Data Input'!R10)/'Data Input'!R9*100,"")</f>
        <v>100</v>
      </c>
      <c r="R8" s="80" t="str">
        <f aca="false">IFERROR(('Data Input'!S9-'Data Input'!S10)/'Data Input'!S9*100,"")</f>
        <v/>
      </c>
      <c r="S8" s="80" t="str">
        <f aca="false">IFERROR(('Data Input'!V10-'Data Input'!V9)/'Data Input'!V9*100,"")</f>
        <v/>
      </c>
      <c r="T8" s="80" t="str">
        <f aca="false">IFERROR(('Data Input'!V10*1.5-'Data Input'!V9*1.5)/'Data Input'!V9/1.5*100,"")</f>
        <v/>
      </c>
    </row>
    <row r="9" customFormat="false" ht="18.75" hidden="false" customHeight="true" outlineLevel="0" collapsed="false">
      <c r="A9" s="78" t="str">
        <f aca="false">'Data Input'!A11</f>
        <v>2026-W19</v>
      </c>
      <c r="B9" s="80" t="str">
        <f aca="false">IFERROR(('Data Input'!D11-'Data Input'!D10)/'Data Input'!D10*100,"")</f>
        <v/>
      </c>
      <c r="C9" s="80" t="str">
        <f aca="false">IFERROR(('Data Input'!E10-'Data Input'!E11)/'Data Input'!E10*100,"")</f>
        <v/>
      </c>
      <c r="D9" s="80" t="str">
        <f aca="false">IFERROR(('Data Input'!F11-'Data Input'!F10)/'Data Input'!F10*100,"")</f>
        <v/>
      </c>
      <c r="E9" s="80" t="str">
        <f aca="false">IFERROR(('Data Input'!G10-'Data Input'!G11)/'Data Input'!G10*100,"")</f>
        <v/>
      </c>
      <c r="F9" s="80" t="str">
        <f aca="false">IFERROR(('Data Input'!H11-'Data Input'!H10)/'Data Input'!H10*100,"")</f>
        <v/>
      </c>
      <c r="G9" s="80" t="str">
        <f aca="false">IFERROR(('Data Input'!I11-'Data Input'!I10)/'Data Input'!I10*100,"")</f>
        <v/>
      </c>
      <c r="H9" s="80" t="str">
        <f aca="false">IFERROR(('Data Input'!J11-'Data Input'!J10)/'Data Input'!J10*100,"")</f>
        <v/>
      </c>
      <c r="I9" s="80" t="str">
        <f aca="false">IFERROR(('Data Input'!K11-'Data Input'!K10)/'Data Input'!K10*100,"")</f>
        <v/>
      </c>
      <c r="J9" s="80" t="str">
        <f aca="false">IFERROR(('Data Input'!L11-'Data Input'!L10)/'Data Input'!L10*100,"")</f>
        <v/>
      </c>
      <c r="K9" s="80" t="str">
        <f aca="false">IFERROR((('Data Input'!K11/'Team Registry'!C3)-('Data Input'!L11/'Team Registry'!D3))/('Data Input'!L11/'Team Registry'!D3)*100,"")</f>
        <v/>
      </c>
      <c r="L9" s="80" t="str">
        <f aca="false">IFERROR(('Data Input'!M10-'Data Input'!M11)/'Data Input'!M10*100,"")</f>
        <v/>
      </c>
      <c r="M9" s="80" t="str">
        <f aca="false">IFERROR(('Data Input'!N10-'Data Input'!N11)/'Data Input'!N10*100,"")</f>
        <v/>
      </c>
      <c r="N9" s="80" t="str">
        <f aca="false">IFERROR(('Data Input'!O11-'Data Input'!O10)/'Data Input'!O10*100,"")</f>
        <v/>
      </c>
      <c r="O9" s="80" t="str">
        <f aca="false">IFERROR(('Data Input'!P11-'Data Input'!P10)/'Data Input'!P10*100,"")</f>
        <v/>
      </c>
      <c r="P9" s="80" t="str">
        <f aca="false">IFERROR(('Data Input'!Q10-'Data Input'!Q11)/'Data Input'!Q10*100,"")</f>
        <v/>
      </c>
      <c r="Q9" s="80" t="str">
        <f aca="false">IFERROR(('Data Input'!R10-'Data Input'!R11)/'Data Input'!R10*100,"")</f>
        <v/>
      </c>
      <c r="R9" s="80" t="str">
        <f aca="false">IFERROR(('Data Input'!S10-'Data Input'!S11)/'Data Input'!S10*100,"")</f>
        <v/>
      </c>
      <c r="S9" s="80" t="str">
        <f aca="false">IFERROR(('Data Input'!V11-'Data Input'!V10)/'Data Input'!V10*100,"")</f>
        <v/>
      </c>
      <c r="T9" s="80" t="str">
        <f aca="false">IFERROR(('Data Input'!V11*1.5-'Data Input'!V10*1.5)/'Data Input'!V10/1.5*100,"")</f>
        <v/>
      </c>
    </row>
    <row r="10" customFormat="false" ht="18.75" hidden="false" customHeight="true" outlineLevel="0" collapsed="false">
      <c r="A10" s="78" t="str">
        <f aca="false">'Data Input'!A12</f>
        <v>2026-W20</v>
      </c>
      <c r="B10" s="80" t="str">
        <f aca="false">IFERROR(('Data Input'!D12-'Data Input'!D11)/'Data Input'!D11*100,"")</f>
        <v/>
      </c>
      <c r="C10" s="80" t="str">
        <f aca="false">IFERROR(('Data Input'!E11-'Data Input'!E12)/'Data Input'!E11*100,"")</f>
        <v/>
      </c>
      <c r="D10" s="80" t="str">
        <f aca="false">IFERROR(('Data Input'!F12-'Data Input'!F11)/'Data Input'!F11*100,"")</f>
        <v/>
      </c>
      <c r="E10" s="80" t="str">
        <f aca="false">IFERROR(('Data Input'!G11-'Data Input'!G12)/'Data Input'!G11*100,"")</f>
        <v/>
      </c>
      <c r="F10" s="80" t="str">
        <f aca="false">IFERROR(('Data Input'!H12-'Data Input'!H11)/'Data Input'!H11*100,"")</f>
        <v/>
      </c>
      <c r="G10" s="80" t="str">
        <f aca="false">IFERROR(('Data Input'!I12-'Data Input'!I11)/'Data Input'!I11*100,"")</f>
        <v/>
      </c>
      <c r="H10" s="80" t="str">
        <f aca="false">IFERROR(('Data Input'!J12-'Data Input'!J11)/'Data Input'!J11*100,"")</f>
        <v/>
      </c>
      <c r="I10" s="80" t="str">
        <f aca="false">IFERROR(('Data Input'!K12-'Data Input'!K11)/'Data Input'!K11*100,"")</f>
        <v/>
      </c>
      <c r="J10" s="80" t="str">
        <f aca="false">IFERROR(('Data Input'!L12-'Data Input'!L11)/'Data Input'!L11*100,"")</f>
        <v/>
      </c>
      <c r="K10" s="80" t="str">
        <f aca="false">IFERROR((('Data Input'!K12/'Team Registry'!C3)-('Data Input'!L12/'Team Registry'!D3))/('Data Input'!L12/'Team Registry'!D3)*100,"")</f>
        <v/>
      </c>
      <c r="L10" s="80" t="str">
        <f aca="false">IFERROR(('Data Input'!M11-'Data Input'!M12)/'Data Input'!M11*100,"")</f>
        <v/>
      </c>
      <c r="M10" s="80" t="str">
        <f aca="false">IFERROR(('Data Input'!N11-'Data Input'!N12)/'Data Input'!N11*100,"")</f>
        <v/>
      </c>
      <c r="N10" s="80" t="str">
        <f aca="false">IFERROR(('Data Input'!O12-'Data Input'!O11)/'Data Input'!O11*100,"")</f>
        <v/>
      </c>
      <c r="O10" s="80" t="str">
        <f aca="false">IFERROR(('Data Input'!P12-'Data Input'!P11)/'Data Input'!P11*100,"")</f>
        <v/>
      </c>
      <c r="P10" s="80" t="str">
        <f aca="false">IFERROR(('Data Input'!Q11-'Data Input'!Q12)/'Data Input'!Q11*100,"")</f>
        <v/>
      </c>
      <c r="Q10" s="80" t="str">
        <f aca="false">IFERROR(('Data Input'!R11-'Data Input'!R12)/'Data Input'!R11*100,"")</f>
        <v/>
      </c>
      <c r="R10" s="80" t="str">
        <f aca="false">IFERROR(('Data Input'!S11-'Data Input'!S12)/'Data Input'!S11*100,"")</f>
        <v/>
      </c>
      <c r="S10" s="80" t="str">
        <f aca="false">IFERROR(('Data Input'!V12-'Data Input'!V11)/'Data Input'!V11*100,"")</f>
        <v/>
      </c>
      <c r="T10" s="80" t="str">
        <f aca="false">IFERROR(('Data Input'!V12*1.5-'Data Input'!V11*1.5)/'Data Input'!V11/1.5*100,"")</f>
        <v/>
      </c>
    </row>
    <row r="11" customFormat="false" ht="18.75" hidden="false" customHeight="true" outlineLevel="0" collapsed="false">
      <c r="A11" s="78" t="str">
        <f aca="false">'Data Input'!A13</f>
        <v>2026-W21</v>
      </c>
      <c r="B11" s="80" t="str">
        <f aca="false">IFERROR(('Data Input'!D13-'Data Input'!D12)/'Data Input'!D12*100,"")</f>
        <v/>
      </c>
      <c r="C11" s="80" t="str">
        <f aca="false">IFERROR(('Data Input'!E12-'Data Input'!E13)/'Data Input'!E12*100,"")</f>
        <v/>
      </c>
      <c r="D11" s="80" t="str">
        <f aca="false">IFERROR(('Data Input'!F13-'Data Input'!F12)/'Data Input'!F12*100,"")</f>
        <v/>
      </c>
      <c r="E11" s="80" t="str">
        <f aca="false">IFERROR(('Data Input'!G12-'Data Input'!G13)/'Data Input'!G12*100,"")</f>
        <v/>
      </c>
      <c r="F11" s="80" t="str">
        <f aca="false">IFERROR(('Data Input'!H13-'Data Input'!H12)/'Data Input'!H12*100,"")</f>
        <v/>
      </c>
      <c r="G11" s="80" t="str">
        <f aca="false">IFERROR(('Data Input'!I13-'Data Input'!I12)/'Data Input'!I12*100,"")</f>
        <v/>
      </c>
      <c r="H11" s="80" t="str">
        <f aca="false">IFERROR(('Data Input'!J13-'Data Input'!J12)/'Data Input'!J12*100,"")</f>
        <v/>
      </c>
      <c r="I11" s="80" t="str">
        <f aca="false">IFERROR(('Data Input'!K13-'Data Input'!K12)/'Data Input'!K12*100,"")</f>
        <v/>
      </c>
      <c r="J11" s="80" t="str">
        <f aca="false">IFERROR(('Data Input'!L13-'Data Input'!L12)/'Data Input'!L12*100,"")</f>
        <v/>
      </c>
      <c r="K11" s="80" t="str">
        <f aca="false">IFERROR((('Data Input'!K13/'Team Registry'!C3)-('Data Input'!L13/'Team Registry'!D3))/('Data Input'!L13/'Team Registry'!D3)*100,"")</f>
        <v/>
      </c>
      <c r="L11" s="80" t="str">
        <f aca="false">IFERROR(('Data Input'!M12-'Data Input'!M13)/'Data Input'!M12*100,"")</f>
        <v/>
      </c>
      <c r="M11" s="80" t="str">
        <f aca="false">IFERROR(('Data Input'!N12-'Data Input'!N13)/'Data Input'!N12*100,"")</f>
        <v/>
      </c>
      <c r="N11" s="80" t="str">
        <f aca="false">IFERROR(('Data Input'!O13-'Data Input'!O12)/'Data Input'!O12*100,"")</f>
        <v/>
      </c>
      <c r="O11" s="80" t="str">
        <f aca="false">IFERROR(('Data Input'!P13-'Data Input'!P12)/'Data Input'!P12*100,"")</f>
        <v/>
      </c>
      <c r="P11" s="80" t="str">
        <f aca="false">IFERROR(('Data Input'!Q12-'Data Input'!Q13)/'Data Input'!Q12*100,"")</f>
        <v/>
      </c>
      <c r="Q11" s="80" t="str">
        <f aca="false">IFERROR(('Data Input'!R12-'Data Input'!R13)/'Data Input'!R12*100,"")</f>
        <v/>
      </c>
      <c r="R11" s="80" t="str">
        <f aca="false">IFERROR(('Data Input'!S12-'Data Input'!S13)/'Data Input'!S12*100,"")</f>
        <v/>
      </c>
      <c r="S11" s="80" t="str">
        <f aca="false">IFERROR(('Data Input'!V13-'Data Input'!V12)/'Data Input'!V12*100,"")</f>
        <v/>
      </c>
      <c r="T11" s="80" t="str">
        <f aca="false">IFERROR(('Data Input'!V13*1.5-'Data Input'!V12*1.5)/'Data Input'!V12/1.5*100,"")</f>
        <v/>
      </c>
    </row>
    <row r="12" customFormat="false" ht="18.75" hidden="false" customHeight="true" outlineLevel="0" collapsed="false">
      <c r="A12" s="78" t="str">
        <f aca="false">'Data Input'!A14</f>
        <v>2026-W22</v>
      </c>
      <c r="B12" s="80" t="str">
        <f aca="false">IFERROR(('Data Input'!D14-'Data Input'!D13)/'Data Input'!D13*100,"")</f>
        <v/>
      </c>
      <c r="C12" s="80" t="str">
        <f aca="false">IFERROR(('Data Input'!E13-'Data Input'!E14)/'Data Input'!E13*100,"")</f>
        <v/>
      </c>
      <c r="D12" s="80" t="str">
        <f aca="false">IFERROR(('Data Input'!F14-'Data Input'!F13)/'Data Input'!F13*100,"")</f>
        <v/>
      </c>
      <c r="E12" s="80" t="str">
        <f aca="false">IFERROR(('Data Input'!G13-'Data Input'!G14)/'Data Input'!G13*100,"")</f>
        <v/>
      </c>
      <c r="F12" s="80" t="str">
        <f aca="false">IFERROR(('Data Input'!H14-'Data Input'!H13)/'Data Input'!H13*100,"")</f>
        <v/>
      </c>
      <c r="G12" s="80" t="str">
        <f aca="false">IFERROR(('Data Input'!I14-'Data Input'!I13)/'Data Input'!I13*100,"")</f>
        <v/>
      </c>
      <c r="H12" s="80" t="str">
        <f aca="false">IFERROR(('Data Input'!J14-'Data Input'!J13)/'Data Input'!J13*100,"")</f>
        <v/>
      </c>
      <c r="I12" s="80" t="str">
        <f aca="false">IFERROR(('Data Input'!K14-'Data Input'!K13)/'Data Input'!K13*100,"")</f>
        <v/>
      </c>
      <c r="J12" s="80" t="str">
        <f aca="false">IFERROR(('Data Input'!L14-'Data Input'!L13)/'Data Input'!L13*100,"")</f>
        <v/>
      </c>
      <c r="K12" s="80" t="str">
        <f aca="false">IFERROR((('Data Input'!K14/'Team Registry'!C3)-('Data Input'!L14/'Team Registry'!D3))/('Data Input'!L14/'Team Registry'!D3)*100,"")</f>
        <v/>
      </c>
      <c r="L12" s="80" t="str">
        <f aca="false">IFERROR(('Data Input'!M13-'Data Input'!M14)/'Data Input'!M13*100,"")</f>
        <v/>
      </c>
      <c r="M12" s="80" t="str">
        <f aca="false">IFERROR(('Data Input'!N13-'Data Input'!N14)/'Data Input'!N13*100,"")</f>
        <v/>
      </c>
      <c r="N12" s="80" t="str">
        <f aca="false">IFERROR(('Data Input'!O14-'Data Input'!O13)/'Data Input'!O13*100,"")</f>
        <v/>
      </c>
      <c r="O12" s="80" t="str">
        <f aca="false">IFERROR(('Data Input'!P14-'Data Input'!P13)/'Data Input'!P13*100,"")</f>
        <v/>
      </c>
      <c r="P12" s="80" t="str">
        <f aca="false">IFERROR(('Data Input'!Q13-'Data Input'!Q14)/'Data Input'!Q13*100,"")</f>
        <v/>
      </c>
      <c r="Q12" s="80" t="str">
        <f aca="false">IFERROR(('Data Input'!R13-'Data Input'!R14)/'Data Input'!R13*100,"")</f>
        <v/>
      </c>
      <c r="R12" s="80" t="str">
        <f aca="false">IFERROR(('Data Input'!S13-'Data Input'!S14)/'Data Input'!S13*100,"")</f>
        <v/>
      </c>
      <c r="S12" s="80" t="str">
        <f aca="false">IFERROR(('Data Input'!V14-'Data Input'!V13)/'Data Input'!V13*100,"")</f>
        <v/>
      </c>
      <c r="T12" s="80" t="str">
        <f aca="false">IFERROR(('Data Input'!V14*1.5-'Data Input'!V13*1.5)/'Data Input'!V13/1.5*100,"")</f>
        <v/>
      </c>
    </row>
    <row r="13" customFormat="false" ht="18.75" hidden="false" customHeight="true" outlineLevel="0" collapsed="false">
      <c r="A13" s="78" t="str">
        <f aca="false">'Data Input'!A15</f>
        <v>2026-W23</v>
      </c>
      <c r="B13" s="80" t="str">
        <f aca="false">IFERROR(('Data Input'!D15-'Data Input'!D14)/'Data Input'!D14*100,"")</f>
        <v/>
      </c>
      <c r="C13" s="80" t="str">
        <f aca="false">IFERROR(('Data Input'!E14-'Data Input'!E15)/'Data Input'!E14*100,"")</f>
        <v/>
      </c>
      <c r="D13" s="80" t="str">
        <f aca="false">IFERROR(('Data Input'!F15-'Data Input'!F14)/'Data Input'!F14*100,"")</f>
        <v/>
      </c>
      <c r="E13" s="80" t="str">
        <f aca="false">IFERROR(('Data Input'!G14-'Data Input'!G15)/'Data Input'!G14*100,"")</f>
        <v/>
      </c>
      <c r="F13" s="80" t="str">
        <f aca="false">IFERROR(('Data Input'!H15-'Data Input'!H14)/'Data Input'!H14*100,"")</f>
        <v/>
      </c>
      <c r="G13" s="80" t="str">
        <f aca="false">IFERROR(('Data Input'!I15-'Data Input'!I14)/'Data Input'!I14*100,"")</f>
        <v/>
      </c>
      <c r="H13" s="80" t="str">
        <f aca="false">IFERROR(('Data Input'!J15-'Data Input'!J14)/'Data Input'!J14*100,"")</f>
        <v/>
      </c>
      <c r="I13" s="80" t="str">
        <f aca="false">IFERROR(('Data Input'!K15-'Data Input'!K14)/'Data Input'!K14*100,"")</f>
        <v/>
      </c>
      <c r="J13" s="80" t="str">
        <f aca="false">IFERROR(('Data Input'!L15-'Data Input'!L14)/'Data Input'!L14*100,"")</f>
        <v/>
      </c>
      <c r="K13" s="80" t="str">
        <f aca="false">IFERROR((('Data Input'!K15/'Team Registry'!C3)-('Data Input'!L15/'Team Registry'!D3))/('Data Input'!L15/'Team Registry'!D3)*100,"")</f>
        <v/>
      </c>
      <c r="L13" s="80" t="str">
        <f aca="false">IFERROR(('Data Input'!M14-'Data Input'!M15)/'Data Input'!M14*100,"")</f>
        <v/>
      </c>
      <c r="M13" s="80" t="str">
        <f aca="false">IFERROR(('Data Input'!N14-'Data Input'!N15)/'Data Input'!N14*100,"")</f>
        <v/>
      </c>
      <c r="N13" s="80" t="str">
        <f aca="false">IFERROR(('Data Input'!O15-'Data Input'!O14)/'Data Input'!O14*100,"")</f>
        <v/>
      </c>
      <c r="O13" s="80" t="str">
        <f aca="false">IFERROR(('Data Input'!P15-'Data Input'!P14)/'Data Input'!P14*100,"")</f>
        <v/>
      </c>
      <c r="P13" s="80" t="str">
        <f aca="false">IFERROR(('Data Input'!Q14-'Data Input'!Q15)/'Data Input'!Q14*100,"")</f>
        <v/>
      </c>
      <c r="Q13" s="80" t="str">
        <f aca="false">IFERROR(('Data Input'!R14-'Data Input'!R15)/'Data Input'!R14*100,"")</f>
        <v/>
      </c>
      <c r="R13" s="80" t="str">
        <f aca="false">IFERROR(('Data Input'!S14-'Data Input'!S15)/'Data Input'!S14*100,"")</f>
        <v/>
      </c>
      <c r="S13" s="80" t="str">
        <f aca="false">IFERROR(('Data Input'!V15-'Data Input'!V14)/'Data Input'!V14*100,"")</f>
        <v/>
      </c>
      <c r="T13" s="80" t="str">
        <f aca="false">IFERROR(('Data Input'!V15*1.5-'Data Input'!V14*1.5)/'Data Input'!V14/1.5*100,"")</f>
        <v/>
      </c>
    </row>
    <row r="14" customFormat="false" ht="18.75" hidden="false" customHeight="true" outlineLevel="0" collapsed="false">
      <c r="A14" s="78" t="str">
        <f aca="false">'Data Input'!A16</f>
        <v>2026-W24</v>
      </c>
      <c r="B14" s="80" t="str">
        <f aca="false">IFERROR(('Data Input'!D16-'Data Input'!D15)/'Data Input'!D15*100,"")</f>
        <v/>
      </c>
      <c r="C14" s="80" t="str">
        <f aca="false">IFERROR(('Data Input'!E15-'Data Input'!E16)/'Data Input'!E15*100,"")</f>
        <v/>
      </c>
      <c r="D14" s="80" t="str">
        <f aca="false">IFERROR(('Data Input'!F16-'Data Input'!F15)/'Data Input'!F15*100,"")</f>
        <v/>
      </c>
      <c r="E14" s="80" t="str">
        <f aca="false">IFERROR(('Data Input'!G15-'Data Input'!G16)/'Data Input'!G15*100,"")</f>
        <v/>
      </c>
      <c r="F14" s="80" t="str">
        <f aca="false">IFERROR(('Data Input'!H16-'Data Input'!H15)/'Data Input'!H15*100,"")</f>
        <v/>
      </c>
      <c r="G14" s="80" t="str">
        <f aca="false">IFERROR(('Data Input'!I16-'Data Input'!I15)/'Data Input'!I15*100,"")</f>
        <v/>
      </c>
      <c r="H14" s="80" t="str">
        <f aca="false">IFERROR(('Data Input'!J16-'Data Input'!J15)/'Data Input'!J15*100,"")</f>
        <v/>
      </c>
      <c r="I14" s="80" t="str">
        <f aca="false">IFERROR(('Data Input'!K16-'Data Input'!K15)/'Data Input'!K15*100,"")</f>
        <v/>
      </c>
      <c r="J14" s="80" t="str">
        <f aca="false">IFERROR(('Data Input'!L16-'Data Input'!L15)/'Data Input'!L15*100,"")</f>
        <v/>
      </c>
      <c r="K14" s="80" t="str">
        <f aca="false">IFERROR((('Data Input'!K16/'Team Registry'!C3)-('Data Input'!L16/'Team Registry'!D3))/('Data Input'!L16/'Team Registry'!D3)*100,"")</f>
        <v/>
      </c>
      <c r="L14" s="80" t="str">
        <f aca="false">IFERROR(('Data Input'!M15-'Data Input'!M16)/'Data Input'!M15*100,"")</f>
        <v/>
      </c>
      <c r="M14" s="80" t="str">
        <f aca="false">IFERROR(('Data Input'!N15-'Data Input'!N16)/'Data Input'!N15*100,"")</f>
        <v/>
      </c>
      <c r="N14" s="80" t="str">
        <f aca="false">IFERROR(('Data Input'!O16-'Data Input'!O15)/'Data Input'!O15*100,"")</f>
        <v/>
      </c>
      <c r="O14" s="80" t="str">
        <f aca="false">IFERROR(('Data Input'!P16-'Data Input'!P15)/'Data Input'!P15*100,"")</f>
        <v/>
      </c>
      <c r="P14" s="80" t="str">
        <f aca="false">IFERROR(('Data Input'!Q15-'Data Input'!Q16)/'Data Input'!Q15*100,"")</f>
        <v/>
      </c>
      <c r="Q14" s="80" t="str">
        <f aca="false">IFERROR(('Data Input'!R15-'Data Input'!R16)/'Data Input'!R15*100,"")</f>
        <v/>
      </c>
      <c r="R14" s="80" t="str">
        <f aca="false">IFERROR(('Data Input'!S15-'Data Input'!S16)/'Data Input'!S15*100,"")</f>
        <v/>
      </c>
      <c r="S14" s="80" t="str">
        <f aca="false">IFERROR(('Data Input'!V16-'Data Input'!V15)/'Data Input'!V15*100,"")</f>
        <v/>
      </c>
      <c r="T14" s="80" t="str">
        <f aca="false">IFERROR(('Data Input'!V16*1.5-'Data Input'!V15*1.5)/'Data Input'!V15/1.5*100,"")</f>
        <v/>
      </c>
    </row>
    <row r="15" customFormat="false" ht="18.75" hidden="false" customHeight="true" outlineLevel="0" collapsed="false">
      <c r="A15" s="78" t="str">
        <f aca="false">'Data Input'!A17</f>
        <v>2026-W25</v>
      </c>
      <c r="B15" s="80" t="str">
        <f aca="false">IFERROR(('Data Input'!D17-'Data Input'!D16)/'Data Input'!D16*100,"")</f>
        <v/>
      </c>
      <c r="C15" s="80" t="str">
        <f aca="false">IFERROR(('Data Input'!E16-'Data Input'!E17)/'Data Input'!E16*100,"")</f>
        <v/>
      </c>
      <c r="D15" s="80" t="str">
        <f aca="false">IFERROR(('Data Input'!F17-'Data Input'!F16)/'Data Input'!F16*100,"")</f>
        <v/>
      </c>
      <c r="E15" s="80" t="str">
        <f aca="false">IFERROR(('Data Input'!G16-'Data Input'!G17)/'Data Input'!G16*100,"")</f>
        <v/>
      </c>
      <c r="F15" s="80" t="str">
        <f aca="false">IFERROR(('Data Input'!H17-'Data Input'!H16)/'Data Input'!H16*100,"")</f>
        <v/>
      </c>
      <c r="G15" s="80" t="str">
        <f aca="false">IFERROR(('Data Input'!I17-'Data Input'!I16)/'Data Input'!I16*100,"")</f>
        <v/>
      </c>
      <c r="H15" s="80" t="str">
        <f aca="false">IFERROR(('Data Input'!J17-'Data Input'!J16)/'Data Input'!J16*100,"")</f>
        <v/>
      </c>
      <c r="I15" s="80" t="str">
        <f aca="false">IFERROR(('Data Input'!K17-'Data Input'!K16)/'Data Input'!K16*100,"")</f>
        <v/>
      </c>
      <c r="J15" s="80" t="str">
        <f aca="false">IFERROR(('Data Input'!L17-'Data Input'!L16)/'Data Input'!L16*100,"")</f>
        <v/>
      </c>
      <c r="K15" s="80" t="str">
        <f aca="false">IFERROR((('Data Input'!K17/'Team Registry'!C3)-('Data Input'!L17/'Team Registry'!D3))/('Data Input'!L17/'Team Registry'!D3)*100,"")</f>
        <v/>
      </c>
      <c r="L15" s="80" t="str">
        <f aca="false">IFERROR(('Data Input'!M16-'Data Input'!M17)/'Data Input'!M16*100,"")</f>
        <v/>
      </c>
      <c r="M15" s="80" t="str">
        <f aca="false">IFERROR(('Data Input'!N16-'Data Input'!N17)/'Data Input'!N16*100,"")</f>
        <v/>
      </c>
      <c r="N15" s="80" t="str">
        <f aca="false">IFERROR(('Data Input'!O17-'Data Input'!O16)/'Data Input'!O16*100,"")</f>
        <v/>
      </c>
      <c r="O15" s="80" t="str">
        <f aca="false">IFERROR(('Data Input'!P17-'Data Input'!P16)/'Data Input'!P16*100,"")</f>
        <v/>
      </c>
      <c r="P15" s="80" t="str">
        <f aca="false">IFERROR(('Data Input'!Q16-'Data Input'!Q17)/'Data Input'!Q16*100,"")</f>
        <v/>
      </c>
      <c r="Q15" s="80" t="str">
        <f aca="false">IFERROR(('Data Input'!R16-'Data Input'!R17)/'Data Input'!R16*100,"")</f>
        <v/>
      </c>
      <c r="R15" s="80" t="str">
        <f aca="false">IFERROR(('Data Input'!S16-'Data Input'!S17)/'Data Input'!S16*100,"")</f>
        <v/>
      </c>
      <c r="S15" s="80" t="str">
        <f aca="false">IFERROR(('Data Input'!V17-'Data Input'!V16)/'Data Input'!V16*100,"")</f>
        <v/>
      </c>
      <c r="T15" s="80" t="str">
        <f aca="false">IFERROR(('Data Input'!V17*1.5-'Data Input'!V16*1.5)/'Data Input'!V16/1.5*100,"")</f>
        <v/>
      </c>
    </row>
    <row r="16" customFormat="false" ht="18.75" hidden="false" customHeight="true" outlineLevel="0" collapsed="false">
      <c r="A16" s="78" t="str">
        <f aca="false">'Data Input'!A18</f>
        <v>2026-W26</v>
      </c>
      <c r="B16" s="80" t="str">
        <f aca="false">IFERROR(('Data Input'!D18-'Data Input'!D17)/'Data Input'!D17*100,"")</f>
        <v/>
      </c>
      <c r="C16" s="80" t="str">
        <f aca="false">IFERROR(('Data Input'!E17-'Data Input'!E18)/'Data Input'!E17*100,"")</f>
        <v/>
      </c>
      <c r="D16" s="80" t="str">
        <f aca="false">IFERROR(('Data Input'!F18-'Data Input'!F17)/'Data Input'!F17*100,"")</f>
        <v/>
      </c>
      <c r="E16" s="80" t="str">
        <f aca="false">IFERROR(('Data Input'!G17-'Data Input'!G18)/'Data Input'!G17*100,"")</f>
        <v/>
      </c>
      <c r="F16" s="80" t="str">
        <f aca="false">IFERROR(('Data Input'!H18-'Data Input'!H17)/'Data Input'!H17*100,"")</f>
        <v/>
      </c>
      <c r="G16" s="80" t="str">
        <f aca="false">IFERROR(('Data Input'!I18-'Data Input'!I17)/'Data Input'!I17*100,"")</f>
        <v/>
      </c>
      <c r="H16" s="80" t="str">
        <f aca="false">IFERROR(('Data Input'!J18-'Data Input'!J17)/'Data Input'!J17*100,"")</f>
        <v/>
      </c>
      <c r="I16" s="80" t="str">
        <f aca="false">IFERROR(('Data Input'!K18-'Data Input'!K17)/'Data Input'!K17*100,"")</f>
        <v/>
      </c>
      <c r="J16" s="80" t="str">
        <f aca="false">IFERROR(('Data Input'!L18-'Data Input'!L17)/'Data Input'!L17*100,"")</f>
        <v/>
      </c>
      <c r="K16" s="80" t="str">
        <f aca="false">IFERROR((('Data Input'!K18/'Team Registry'!C3)-('Data Input'!L18/'Team Registry'!D3))/('Data Input'!L18/'Team Registry'!D3)*100,"")</f>
        <v/>
      </c>
      <c r="L16" s="80" t="str">
        <f aca="false">IFERROR(('Data Input'!M17-'Data Input'!M18)/'Data Input'!M17*100,"")</f>
        <v/>
      </c>
      <c r="M16" s="80" t="str">
        <f aca="false">IFERROR(('Data Input'!N17-'Data Input'!N18)/'Data Input'!N17*100,"")</f>
        <v/>
      </c>
      <c r="N16" s="80" t="str">
        <f aca="false">IFERROR(('Data Input'!O18-'Data Input'!O17)/'Data Input'!O17*100,"")</f>
        <v/>
      </c>
      <c r="O16" s="80" t="str">
        <f aca="false">IFERROR(('Data Input'!P18-'Data Input'!P17)/'Data Input'!P17*100,"")</f>
        <v/>
      </c>
      <c r="P16" s="80" t="str">
        <f aca="false">IFERROR(('Data Input'!Q17-'Data Input'!Q18)/'Data Input'!Q17*100,"")</f>
        <v/>
      </c>
      <c r="Q16" s="80" t="str">
        <f aca="false">IFERROR(('Data Input'!R17-'Data Input'!R18)/'Data Input'!R17*100,"")</f>
        <v/>
      </c>
      <c r="R16" s="80" t="str">
        <f aca="false">IFERROR(('Data Input'!S17-'Data Input'!S18)/'Data Input'!S17*100,"")</f>
        <v/>
      </c>
      <c r="S16" s="80" t="str">
        <f aca="false">IFERROR(('Data Input'!V18-'Data Input'!V17)/'Data Input'!V17*100,"")</f>
        <v/>
      </c>
      <c r="T16" s="80" t="str">
        <f aca="false">IFERROR(('Data Input'!V18*1.5-'Data Input'!V17*1.5)/'Data Input'!V17/1.5*100,"")</f>
        <v/>
      </c>
    </row>
    <row r="17" customFormat="false" ht="18.75" hidden="false" customHeight="true" outlineLevel="0" collapsed="false">
      <c r="A17" s="78" t="str">
        <f aca="false">'Data Input'!A19</f>
        <v>2026-W27</v>
      </c>
      <c r="B17" s="80" t="str">
        <f aca="false">IFERROR(('Data Input'!D19-'Data Input'!D18)/'Data Input'!D18*100,"")</f>
        <v/>
      </c>
      <c r="C17" s="80" t="str">
        <f aca="false">IFERROR(('Data Input'!E18-'Data Input'!E19)/'Data Input'!E18*100,"")</f>
        <v/>
      </c>
      <c r="D17" s="80" t="str">
        <f aca="false">IFERROR(('Data Input'!F19-'Data Input'!F18)/'Data Input'!F18*100,"")</f>
        <v/>
      </c>
      <c r="E17" s="80" t="str">
        <f aca="false">IFERROR(('Data Input'!G18-'Data Input'!G19)/'Data Input'!G18*100,"")</f>
        <v/>
      </c>
      <c r="F17" s="80" t="str">
        <f aca="false">IFERROR(('Data Input'!H19-'Data Input'!H18)/'Data Input'!H18*100,"")</f>
        <v/>
      </c>
      <c r="G17" s="80" t="str">
        <f aca="false">IFERROR(('Data Input'!I19-'Data Input'!I18)/'Data Input'!I18*100,"")</f>
        <v/>
      </c>
      <c r="H17" s="80" t="str">
        <f aca="false">IFERROR(('Data Input'!J19-'Data Input'!J18)/'Data Input'!J18*100,"")</f>
        <v/>
      </c>
      <c r="I17" s="80" t="str">
        <f aca="false">IFERROR(('Data Input'!K19-'Data Input'!K18)/'Data Input'!K18*100,"")</f>
        <v/>
      </c>
      <c r="J17" s="80" t="str">
        <f aca="false">IFERROR(('Data Input'!L19-'Data Input'!L18)/'Data Input'!L18*100,"")</f>
        <v/>
      </c>
      <c r="K17" s="80" t="str">
        <f aca="false">IFERROR((('Data Input'!K19/'Team Registry'!C3)-('Data Input'!L19/'Team Registry'!D3))/('Data Input'!L19/'Team Registry'!D3)*100,"")</f>
        <v/>
      </c>
      <c r="L17" s="80" t="str">
        <f aca="false">IFERROR(('Data Input'!M18-'Data Input'!M19)/'Data Input'!M18*100,"")</f>
        <v/>
      </c>
      <c r="M17" s="80" t="str">
        <f aca="false">IFERROR(('Data Input'!N18-'Data Input'!N19)/'Data Input'!N18*100,"")</f>
        <v/>
      </c>
      <c r="N17" s="80" t="str">
        <f aca="false">IFERROR(('Data Input'!O19-'Data Input'!O18)/'Data Input'!O18*100,"")</f>
        <v/>
      </c>
      <c r="O17" s="80" t="str">
        <f aca="false">IFERROR(('Data Input'!P19-'Data Input'!P18)/'Data Input'!P18*100,"")</f>
        <v/>
      </c>
      <c r="P17" s="80" t="str">
        <f aca="false">IFERROR(('Data Input'!Q18-'Data Input'!Q19)/'Data Input'!Q18*100,"")</f>
        <v/>
      </c>
      <c r="Q17" s="80" t="str">
        <f aca="false">IFERROR(('Data Input'!R18-'Data Input'!R19)/'Data Input'!R18*100,"")</f>
        <v/>
      </c>
      <c r="R17" s="80" t="str">
        <f aca="false">IFERROR(('Data Input'!S18-'Data Input'!S19)/'Data Input'!S18*100,"")</f>
        <v/>
      </c>
      <c r="S17" s="80" t="str">
        <f aca="false">IFERROR(('Data Input'!V19-'Data Input'!V18)/'Data Input'!V18*100,"")</f>
        <v/>
      </c>
      <c r="T17" s="80" t="str">
        <f aca="false">IFERROR(('Data Input'!V19*1.5-'Data Input'!V18*1.5)/'Data Input'!V18/1.5*100,"")</f>
        <v/>
      </c>
    </row>
    <row r="18" customFormat="false" ht="18.75" hidden="false" customHeight="true" outlineLevel="0" collapsed="false">
      <c r="A18" s="78" t="str">
        <f aca="false">'Data Input'!A20</f>
        <v>2026-W28</v>
      </c>
      <c r="B18" s="80" t="str">
        <f aca="false">IFERROR(('Data Input'!D20-'Data Input'!D19)/'Data Input'!D19*100,"")</f>
        <v/>
      </c>
      <c r="C18" s="80" t="str">
        <f aca="false">IFERROR(('Data Input'!E19-'Data Input'!E20)/'Data Input'!E19*100,"")</f>
        <v/>
      </c>
      <c r="D18" s="80" t="str">
        <f aca="false">IFERROR(('Data Input'!F20-'Data Input'!F19)/'Data Input'!F19*100,"")</f>
        <v/>
      </c>
      <c r="E18" s="80" t="str">
        <f aca="false">IFERROR(('Data Input'!G19-'Data Input'!G20)/'Data Input'!G19*100,"")</f>
        <v/>
      </c>
      <c r="F18" s="80" t="str">
        <f aca="false">IFERROR(('Data Input'!H20-'Data Input'!H19)/'Data Input'!H19*100,"")</f>
        <v/>
      </c>
      <c r="G18" s="80" t="str">
        <f aca="false">IFERROR(('Data Input'!I20-'Data Input'!I19)/'Data Input'!I19*100,"")</f>
        <v/>
      </c>
      <c r="H18" s="80" t="str">
        <f aca="false">IFERROR(('Data Input'!J20-'Data Input'!J19)/'Data Input'!J19*100,"")</f>
        <v/>
      </c>
      <c r="I18" s="80" t="str">
        <f aca="false">IFERROR(('Data Input'!K20-'Data Input'!K19)/'Data Input'!K19*100,"")</f>
        <v/>
      </c>
      <c r="J18" s="80" t="str">
        <f aca="false">IFERROR(('Data Input'!L20-'Data Input'!L19)/'Data Input'!L19*100,"")</f>
        <v/>
      </c>
      <c r="K18" s="80" t="str">
        <f aca="false">IFERROR((('Data Input'!K20/'Team Registry'!C3)-('Data Input'!L20/'Team Registry'!D3))/('Data Input'!L20/'Team Registry'!D3)*100,"")</f>
        <v/>
      </c>
      <c r="L18" s="80" t="str">
        <f aca="false">IFERROR(('Data Input'!M19-'Data Input'!M20)/'Data Input'!M19*100,"")</f>
        <v/>
      </c>
      <c r="M18" s="80" t="str">
        <f aca="false">IFERROR(('Data Input'!N19-'Data Input'!N20)/'Data Input'!N19*100,"")</f>
        <v/>
      </c>
      <c r="N18" s="80" t="str">
        <f aca="false">IFERROR(('Data Input'!O20-'Data Input'!O19)/'Data Input'!O19*100,"")</f>
        <v/>
      </c>
      <c r="O18" s="80" t="str">
        <f aca="false">IFERROR(('Data Input'!P20-'Data Input'!P19)/'Data Input'!P19*100,"")</f>
        <v/>
      </c>
      <c r="P18" s="80" t="str">
        <f aca="false">IFERROR(('Data Input'!Q19-'Data Input'!Q20)/'Data Input'!Q19*100,"")</f>
        <v/>
      </c>
      <c r="Q18" s="80" t="str">
        <f aca="false">IFERROR(('Data Input'!R19-'Data Input'!R20)/'Data Input'!R19*100,"")</f>
        <v/>
      </c>
      <c r="R18" s="80" t="str">
        <f aca="false">IFERROR(('Data Input'!S19-'Data Input'!S20)/'Data Input'!S19*100,"")</f>
        <v/>
      </c>
      <c r="S18" s="80" t="str">
        <f aca="false">IFERROR(('Data Input'!V20-'Data Input'!V19)/'Data Input'!V19*100,"")</f>
        <v/>
      </c>
      <c r="T18" s="80" t="str">
        <f aca="false">IFERROR(('Data Input'!V20*1.5-'Data Input'!V19*1.5)/'Data Input'!V19/1.5*100,"")</f>
        <v/>
      </c>
    </row>
    <row r="19" customFormat="false" ht="18.75" hidden="false" customHeight="true" outlineLevel="0" collapsed="false">
      <c r="A19" s="78" t="str">
        <f aca="false">'Data Input'!A21</f>
        <v>2026-W29</v>
      </c>
      <c r="B19" s="80" t="str">
        <f aca="false">IFERROR(('Data Input'!D21-'Data Input'!D20)/'Data Input'!D20*100,"")</f>
        <v/>
      </c>
      <c r="C19" s="80" t="str">
        <f aca="false">IFERROR(('Data Input'!E20-'Data Input'!E21)/'Data Input'!E20*100,"")</f>
        <v/>
      </c>
      <c r="D19" s="80" t="str">
        <f aca="false">IFERROR(('Data Input'!F21-'Data Input'!F20)/'Data Input'!F20*100,"")</f>
        <v/>
      </c>
      <c r="E19" s="80" t="str">
        <f aca="false">IFERROR(('Data Input'!G20-'Data Input'!G21)/'Data Input'!G20*100,"")</f>
        <v/>
      </c>
      <c r="F19" s="80" t="str">
        <f aca="false">IFERROR(('Data Input'!H21-'Data Input'!H20)/'Data Input'!H20*100,"")</f>
        <v/>
      </c>
      <c r="G19" s="80" t="str">
        <f aca="false">IFERROR(('Data Input'!I21-'Data Input'!I20)/'Data Input'!I20*100,"")</f>
        <v/>
      </c>
      <c r="H19" s="80" t="str">
        <f aca="false">IFERROR(('Data Input'!J21-'Data Input'!J20)/'Data Input'!J20*100,"")</f>
        <v/>
      </c>
      <c r="I19" s="80" t="str">
        <f aca="false">IFERROR(('Data Input'!K21-'Data Input'!K20)/'Data Input'!K20*100,"")</f>
        <v/>
      </c>
      <c r="J19" s="80" t="str">
        <f aca="false">IFERROR(('Data Input'!L21-'Data Input'!L20)/'Data Input'!L20*100,"")</f>
        <v/>
      </c>
      <c r="K19" s="80" t="str">
        <f aca="false">IFERROR((('Data Input'!K21/'Team Registry'!C3)-('Data Input'!L21/'Team Registry'!D3))/('Data Input'!L21/'Team Registry'!D3)*100,"")</f>
        <v/>
      </c>
      <c r="L19" s="80" t="str">
        <f aca="false">IFERROR(('Data Input'!M20-'Data Input'!M21)/'Data Input'!M20*100,"")</f>
        <v/>
      </c>
      <c r="M19" s="80" t="str">
        <f aca="false">IFERROR(('Data Input'!N20-'Data Input'!N21)/'Data Input'!N20*100,"")</f>
        <v/>
      </c>
      <c r="N19" s="80" t="str">
        <f aca="false">IFERROR(('Data Input'!O21-'Data Input'!O20)/'Data Input'!O20*100,"")</f>
        <v/>
      </c>
      <c r="O19" s="80" t="str">
        <f aca="false">IFERROR(('Data Input'!P21-'Data Input'!P20)/'Data Input'!P20*100,"")</f>
        <v/>
      </c>
      <c r="P19" s="80" t="str">
        <f aca="false">IFERROR(('Data Input'!Q20-'Data Input'!Q21)/'Data Input'!Q20*100,"")</f>
        <v/>
      </c>
      <c r="Q19" s="80" t="str">
        <f aca="false">IFERROR(('Data Input'!R20-'Data Input'!R21)/'Data Input'!R20*100,"")</f>
        <v/>
      </c>
      <c r="R19" s="80" t="str">
        <f aca="false">IFERROR(('Data Input'!S20-'Data Input'!S21)/'Data Input'!S20*100,"")</f>
        <v/>
      </c>
      <c r="S19" s="80" t="str">
        <f aca="false">IFERROR(('Data Input'!V21-'Data Input'!V20)/'Data Input'!V20*100,"")</f>
        <v/>
      </c>
      <c r="T19" s="80" t="str">
        <f aca="false">IFERROR(('Data Input'!V21*1.5-'Data Input'!V20*1.5)/'Data Input'!V20/1.5*100,"")</f>
        <v/>
      </c>
    </row>
    <row r="20" customFormat="false" ht="18.75" hidden="false" customHeight="true" outlineLevel="0" collapsed="false">
      <c r="A20" s="78" t="str">
        <f aca="false">'Data Input'!A22</f>
        <v>2026-W30</v>
      </c>
      <c r="B20" s="80" t="str">
        <f aca="false">IFERROR(('Data Input'!D22-'Data Input'!D21)/'Data Input'!D21*100,"")</f>
        <v/>
      </c>
      <c r="C20" s="80" t="str">
        <f aca="false">IFERROR(('Data Input'!E21-'Data Input'!E22)/'Data Input'!E21*100,"")</f>
        <v/>
      </c>
      <c r="D20" s="80" t="str">
        <f aca="false">IFERROR(('Data Input'!F22-'Data Input'!F21)/'Data Input'!F21*100,"")</f>
        <v/>
      </c>
      <c r="E20" s="80" t="str">
        <f aca="false">IFERROR(('Data Input'!G21-'Data Input'!G22)/'Data Input'!G21*100,"")</f>
        <v/>
      </c>
      <c r="F20" s="80" t="str">
        <f aca="false">IFERROR(('Data Input'!H22-'Data Input'!H21)/'Data Input'!H21*100,"")</f>
        <v/>
      </c>
      <c r="G20" s="80" t="str">
        <f aca="false">IFERROR(('Data Input'!I22-'Data Input'!I21)/'Data Input'!I21*100,"")</f>
        <v/>
      </c>
      <c r="H20" s="80" t="str">
        <f aca="false">IFERROR(('Data Input'!J22-'Data Input'!J21)/'Data Input'!J21*100,"")</f>
        <v/>
      </c>
      <c r="I20" s="80" t="str">
        <f aca="false">IFERROR(('Data Input'!K22-'Data Input'!K21)/'Data Input'!K21*100,"")</f>
        <v/>
      </c>
      <c r="J20" s="80" t="str">
        <f aca="false">IFERROR(('Data Input'!L22-'Data Input'!L21)/'Data Input'!L21*100,"")</f>
        <v/>
      </c>
      <c r="K20" s="80" t="str">
        <f aca="false">IFERROR((('Data Input'!K22/'Team Registry'!C3)-('Data Input'!L22/'Team Registry'!D3))/('Data Input'!L22/'Team Registry'!D3)*100,"")</f>
        <v/>
      </c>
      <c r="L20" s="80" t="str">
        <f aca="false">IFERROR(('Data Input'!M21-'Data Input'!M22)/'Data Input'!M21*100,"")</f>
        <v/>
      </c>
      <c r="M20" s="80" t="str">
        <f aca="false">IFERROR(('Data Input'!N21-'Data Input'!N22)/'Data Input'!N21*100,"")</f>
        <v/>
      </c>
      <c r="N20" s="80" t="str">
        <f aca="false">IFERROR(('Data Input'!O22-'Data Input'!O21)/'Data Input'!O21*100,"")</f>
        <v/>
      </c>
      <c r="O20" s="80" t="str">
        <f aca="false">IFERROR(('Data Input'!P22-'Data Input'!P21)/'Data Input'!P21*100,"")</f>
        <v/>
      </c>
      <c r="P20" s="80" t="str">
        <f aca="false">IFERROR(('Data Input'!Q21-'Data Input'!Q22)/'Data Input'!Q21*100,"")</f>
        <v/>
      </c>
      <c r="Q20" s="80" t="str">
        <f aca="false">IFERROR(('Data Input'!R21-'Data Input'!R22)/'Data Input'!R21*100,"")</f>
        <v/>
      </c>
      <c r="R20" s="80" t="str">
        <f aca="false">IFERROR(('Data Input'!S21-'Data Input'!S22)/'Data Input'!S21*100,"")</f>
        <v/>
      </c>
      <c r="S20" s="80" t="str">
        <f aca="false">IFERROR(('Data Input'!V22-'Data Input'!V21)/'Data Input'!V21*100,"")</f>
        <v/>
      </c>
      <c r="T20" s="80" t="str">
        <f aca="false">IFERROR(('Data Input'!V22*1.5-'Data Input'!V21*1.5)/'Data Input'!V21/1.5*100,"")</f>
        <v/>
      </c>
    </row>
    <row r="21" customFormat="false" ht="18.75" hidden="false" customHeight="true" outlineLevel="0" collapsed="false">
      <c r="A21" s="78" t="str">
        <f aca="false">'Data Input'!A23</f>
        <v>2026-W31</v>
      </c>
      <c r="B21" s="80" t="str">
        <f aca="false">IFERROR(('Data Input'!D23-'Data Input'!D22)/'Data Input'!D22*100,"")</f>
        <v/>
      </c>
      <c r="C21" s="80" t="str">
        <f aca="false">IFERROR(('Data Input'!E22-'Data Input'!E23)/'Data Input'!E22*100,"")</f>
        <v/>
      </c>
      <c r="D21" s="80" t="str">
        <f aca="false">IFERROR(('Data Input'!F23-'Data Input'!F22)/'Data Input'!F22*100,"")</f>
        <v/>
      </c>
      <c r="E21" s="80" t="str">
        <f aca="false">IFERROR(('Data Input'!G22-'Data Input'!G23)/'Data Input'!G22*100,"")</f>
        <v/>
      </c>
      <c r="F21" s="80" t="str">
        <f aca="false">IFERROR(('Data Input'!H23-'Data Input'!H22)/'Data Input'!H22*100,"")</f>
        <v/>
      </c>
      <c r="G21" s="80" t="str">
        <f aca="false">IFERROR(('Data Input'!I23-'Data Input'!I22)/'Data Input'!I22*100,"")</f>
        <v/>
      </c>
      <c r="H21" s="80" t="str">
        <f aca="false">IFERROR(('Data Input'!J23-'Data Input'!J22)/'Data Input'!J22*100,"")</f>
        <v/>
      </c>
      <c r="I21" s="80" t="str">
        <f aca="false">IFERROR(('Data Input'!K23-'Data Input'!K22)/'Data Input'!K22*100,"")</f>
        <v/>
      </c>
      <c r="J21" s="80" t="str">
        <f aca="false">IFERROR(('Data Input'!L23-'Data Input'!L22)/'Data Input'!L22*100,"")</f>
        <v/>
      </c>
      <c r="K21" s="80" t="str">
        <f aca="false">IFERROR((('Data Input'!K23/'Team Registry'!C3)-('Data Input'!L23/'Team Registry'!D3))/('Data Input'!L23/'Team Registry'!D3)*100,"")</f>
        <v/>
      </c>
      <c r="L21" s="80" t="str">
        <f aca="false">IFERROR(('Data Input'!M22-'Data Input'!M23)/'Data Input'!M22*100,"")</f>
        <v/>
      </c>
      <c r="M21" s="80" t="str">
        <f aca="false">IFERROR(('Data Input'!N22-'Data Input'!N23)/'Data Input'!N22*100,"")</f>
        <v/>
      </c>
      <c r="N21" s="80" t="str">
        <f aca="false">IFERROR(('Data Input'!O23-'Data Input'!O22)/'Data Input'!O22*100,"")</f>
        <v/>
      </c>
      <c r="O21" s="80" t="str">
        <f aca="false">IFERROR(('Data Input'!P23-'Data Input'!P22)/'Data Input'!P22*100,"")</f>
        <v/>
      </c>
      <c r="P21" s="80" t="str">
        <f aca="false">IFERROR(('Data Input'!Q22-'Data Input'!Q23)/'Data Input'!Q22*100,"")</f>
        <v/>
      </c>
      <c r="Q21" s="80" t="str">
        <f aca="false">IFERROR(('Data Input'!R22-'Data Input'!R23)/'Data Input'!R22*100,"")</f>
        <v/>
      </c>
      <c r="R21" s="80" t="str">
        <f aca="false">IFERROR(('Data Input'!S22-'Data Input'!S23)/'Data Input'!S22*100,"")</f>
        <v/>
      </c>
      <c r="S21" s="80" t="str">
        <f aca="false">IFERROR(('Data Input'!V23-'Data Input'!V22)/'Data Input'!V22*100,"")</f>
        <v/>
      </c>
      <c r="T21" s="80" t="str">
        <f aca="false">IFERROR(('Data Input'!V23*1.5-'Data Input'!V22*1.5)/'Data Input'!V22/1.5*100,"")</f>
        <v/>
      </c>
    </row>
    <row r="22" customFormat="false" ht="18.75" hidden="false" customHeight="true" outlineLevel="0" collapsed="false">
      <c r="A22" s="78" t="str">
        <f aca="false">'Data Input'!A24</f>
        <v>2026-W32</v>
      </c>
      <c r="B22" s="80" t="str">
        <f aca="false">IFERROR(('Data Input'!D24-'Data Input'!D23)/'Data Input'!D23*100,"")</f>
        <v/>
      </c>
      <c r="C22" s="80" t="str">
        <f aca="false">IFERROR(('Data Input'!E23-'Data Input'!E24)/'Data Input'!E23*100,"")</f>
        <v/>
      </c>
      <c r="D22" s="80" t="str">
        <f aca="false">IFERROR(('Data Input'!F24-'Data Input'!F23)/'Data Input'!F23*100,"")</f>
        <v/>
      </c>
      <c r="E22" s="80" t="str">
        <f aca="false">IFERROR(('Data Input'!G23-'Data Input'!G24)/'Data Input'!G23*100,"")</f>
        <v/>
      </c>
      <c r="F22" s="80" t="str">
        <f aca="false">IFERROR(('Data Input'!H24-'Data Input'!H23)/'Data Input'!H23*100,"")</f>
        <v/>
      </c>
      <c r="G22" s="80" t="str">
        <f aca="false">IFERROR(('Data Input'!I24-'Data Input'!I23)/'Data Input'!I23*100,"")</f>
        <v/>
      </c>
      <c r="H22" s="80" t="str">
        <f aca="false">IFERROR(('Data Input'!J24-'Data Input'!J23)/'Data Input'!J23*100,"")</f>
        <v/>
      </c>
      <c r="I22" s="80" t="str">
        <f aca="false">IFERROR(('Data Input'!K24-'Data Input'!K23)/'Data Input'!K23*100,"")</f>
        <v/>
      </c>
      <c r="J22" s="80" t="str">
        <f aca="false">IFERROR(('Data Input'!L24-'Data Input'!L23)/'Data Input'!L23*100,"")</f>
        <v/>
      </c>
      <c r="K22" s="80" t="str">
        <f aca="false">IFERROR((('Data Input'!K24/'Team Registry'!C3)-('Data Input'!L24/'Team Registry'!D3))/('Data Input'!L24/'Team Registry'!D3)*100,"")</f>
        <v/>
      </c>
      <c r="L22" s="80" t="str">
        <f aca="false">IFERROR(('Data Input'!M23-'Data Input'!M24)/'Data Input'!M23*100,"")</f>
        <v/>
      </c>
      <c r="M22" s="80" t="str">
        <f aca="false">IFERROR(('Data Input'!N23-'Data Input'!N24)/'Data Input'!N23*100,"")</f>
        <v/>
      </c>
      <c r="N22" s="80" t="str">
        <f aca="false">IFERROR(('Data Input'!O24-'Data Input'!O23)/'Data Input'!O23*100,"")</f>
        <v/>
      </c>
      <c r="O22" s="80" t="str">
        <f aca="false">IFERROR(('Data Input'!P24-'Data Input'!P23)/'Data Input'!P23*100,"")</f>
        <v/>
      </c>
      <c r="P22" s="80" t="str">
        <f aca="false">IFERROR(('Data Input'!Q23-'Data Input'!Q24)/'Data Input'!Q23*100,"")</f>
        <v/>
      </c>
      <c r="Q22" s="80" t="str">
        <f aca="false">IFERROR(('Data Input'!R23-'Data Input'!R24)/'Data Input'!R23*100,"")</f>
        <v/>
      </c>
      <c r="R22" s="80" t="str">
        <f aca="false">IFERROR(('Data Input'!S23-'Data Input'!S24)/'Data Input'!S23*100,"")</f>
        <v/>
      </c>
      <c r="S22" s="80" t="str">
        <f aca="false">IFERROR(('Data Input'!V24-'Data Input'!V23)/'Data Input'!V23*100,"")</f>
        <v/>
      </c>
      <c r="T22" s="80" t="str">
        <f aca="false">IFERROR(('Data Input'!V24*1.5-'Data Input'!V23*1.5)/'Data Input'!V23/1.5*100,"")</f>
        <v/>
      </c>
    </row>
    <row r="23" customFormat="false" ht="18.75" hidden="false" customHeight="true" outlineLevel="0" collapsed="false">
      <c r="A23" s="78" t="str">
        <f aca="false">'Data Input'!A25</f>
        <v>2026-W33</v>
      </c>
      <c r="B23" s="80" t="str">
        <f aca="false">IFERROR(('Data Input'!D25-'Data Input'!D24)/'Data Input'!D24*100,"")</f>
        <v/>
      </c>
      <c r="C23" s="80" t="str">
        <f aca="false">IFERROR(('Data Input'!E24-'Data Input'!E25)/'Data Input'!E24*100,"")</f>
        <v/>
      </c>
      <c r="D23" s="80" t="str">
        <f aca="false">IFERROR(('Data Input'!F25-'Data Input'!F24)/'Data Input'!F24*100,"")</f>
        <v/>
      </c>
      <c r="E23" s="80" t="str">
        <f aca="false">IFERROR(('Data Input'!G24-'Data Input'!G25)/'Data Input'!G24*100,"")</f>
        <v/>
      </c>
      <c r="F23" s="80" t="str">
        <f aca="false">IFERROR(('Data Input'!H25-'Data Input'!H24)/'Data Input'!H24*100,"")</f>
        <v/>
      </c>
      <c r="G23" s="80" t="str">
        <f aca="false">IFERROR(('Data Input'!I25-'Data Input'!I24)/'Data Input'!I24*100,"")</f>
        <v/>
      </c>
      <c r="H23" s="80" t="str">
        <f aca="false">IFERROR(('Data Input'!J25-'Data Input'!J24)/'Data Input'!J24*100,"")</f>
        <v/>
      </c>
      <c r="I23" s="80" t="str">
        <f aca="false">IFERROR(('Data Input'!K25-'Data Input'!K24)/'Data Input'!K24*100,"")</f>
        <v/>
      </c>
      <c r="J23" s="80" t="str">
        <f aca="false">IFERROR(('Data Input'!L25-'Data Input'!L24)/'Data Input'!L24*100,"")</f>
        <v/>
      </c>
      <c r="K23" s="80" t="str">
        <f aca="false">IFERROR((('Data Input'!K25/'Team Registry'!C3)-('Data Input'!L25/'Team Registry'!D3))/('Data Input'!L25/'Team Registry'!D3)*100,"")</f>
        <v/>
      </c>
      <c r="L23" s="80" t="str">
        <f aca="false">IFERROR(('Data Input'!M24-'Data Input'!M25)/'Data Input'!M24*100,"")</f>
        <v/>
      </c>
      <c r="M23" s="80" t="str">
        <f aca="false">IFERROR(('Data Input'!N24-'Data Input'!N25)/'Data Input'!N24*100,"")</f>
        <v/>
      </c>
      <c r="N23" s="80" t="str">
        <f aca="false">IFERROR(('Data Input'!O25-'Data Input'!O24)/'Data Input'!O24*100,"")</f>
        <v/>
      </c>
      <c r="O23" s="80" t="str">
        <f aca="false">IFERROR(('Data Input'!P25-'Data Input'!P24)/'Data Input'!P24*100,"")</f>
        <v/>
      </c>
      <c r="P23" s="80" t="str">
        <f aca="false">IFERROR(('Data Input'!Q24-'Data Input'!Q25)/'Data Input'!Q24*100,"")</f>
        <v/>
      </c>
      <c r="Q23" s="80" t="str">
        <f aca="false">IFERROR(('Data Input'!R24-'Data Input'!R25)/'Data Input'!R24*100,"")</f>
        <v/>
      </c>
      <c r="R23" s="80" t="str">
        <f aca="false">IFERROR(('Data Input'!S24-'Data Input'!S25)/'Data Input'!S24*100,"")</f>
        <v/>
      </c>
      <c r="S23" s="80" t="str">
        <f aca="false">IFERROR(('Data Input'!V25-'Data Input'!V24)/'Data Input'!V24*100,"")</f>
        <v/>
      </c>
      <c r="T23" s="80" t="str">
        <f aca="false">IFERROR(('Data Input'!V25*1.5-'Data Input'!V24*1.5)/'Data Input'!V24/1.5*100,"")</f>
        <v/>
      </c>
    </row>
  </sheetData>
  <mergeCells count="2">
    <mergeCell ref="A1:T1"/>
    <mergeCell ref="A2:T2"/>
  </mergeCells>
  <conditionalFormatting sqref="B5:T23">
    <cfRule type="cellIs" priority="2" operator="greaterThan" aboveAverage="0" equalAverage="0" bottom="0" percent="0" rank="0" text="" dxfId="0">
      <formula>0</formula>
    </cfRule>
    <cfRule type="cellIs" priority="3" operator="lessThan" aboveAverage="0" equalAverage="0" bottom="0" percent="0" rank="0" text="" dxfId="1">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8"/>
  <sheetViews>
    <sheetView showFormulas="false" showGridLines="true" showRowColHeaders="true" showZeros="true" rightToLeft="false" tabSelected="false" showOutlineSymbols="true" defaultGridColor="true" view="normal" topLeftCell="A1" colorId="64" zoomScale="80" zoomScaleNormal="8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1" min="1" style="0" width="9.51"/>
  </cols>
  <sheetData>
    <row r="1" customFormat="false" ht="36" hidden="false" customHeight="true" outlineLevel="0" collapsed="false">
      <c r="A1" s="1" t="s">
        <v>309</v>
      </c>
      <c r="B1" s="1"/>
      <c r="C1" s="1"/>
      <c r="D1" s="1"/>
      <c r="E1" s="1"/>
      <c r="F1" s="1"/>
      <c r="G1" s="1"/>
      <c r="H1" s="1"/>
      <c r="I1" s="1"/>
      <c r="J1" s="1"/>
      <c r="K1" s="1"/>
      <c r="L1" s="1"/>
      <c r="M1" s="1"/>
      <c r="N1" s="1"/>
      <c r="O1" s="1"/>
      <c r="P1" s="1"/>
      <c r="Q1" s="1"/>
      <c r="R1" s="1"/>
      <c r="S1" s="1"/>
      <c r="T1" s="1"/>
      <c r="U1" s="1"/>
      <c r="V1" s="1"/>
      <c r="W1" s="1"/>
      <c r="X1" s="1"/>
      <c r="Y1" s="1"/>
      <c r="Z1" s="1"/>
      <c r="AB1" s="81" t="n">
        <f aca="false">COUNTA('Data Input'!A6:A25)+5</f>
        <v>25</v>
      </c>
    </row>
    <row r="2" customFormat="false" ht="15.75" hidden="false" customHeight="true" outlineLevel="0" collapsed="false">
      <c r="A2" s="2" t="s">
        <v>310</v>
      </c>
      <c r="B2" s="2"/>
      <c r="C2" s="2"/>
      <c r="D2" s="2"/>
      <c r="E2" s="2"/>
      <c r="F2" s="2"/>
      <c r="G2" s="2"/>
      <c r="H2" s="2"/>
      <c r="I2" s="2"/>
      <c r="J2" s="2"/>
      <c r="K2" s="2"/>
      <c r="L2" s="2"/>
      <c r="M2" s="2"/>
      <c r="N2" s="2"/>
      <c r="O2" s="2"/>
      <c r="P2" s="2"/>
      <c r="Q2" s="2"/>
      <c r="R2" s="2"/>
      <c r="S2" s="2"/>
      <c r="T2" s="2"/>
      <c r="U2" s="2"/>
      <c r="V2" s="2"/>
      <c r="W2" s="2"/>
      <c r="X2" s="2"/>
      <c r="Y2" s="2"/>
      <c r="Z2" s="2"/>
      <c r="AB2" s="81" t="n">
        <f aca="false">AB1-1</f>
        <v>24</v>
      </c>
    </row>
    <row r="3" customFormat="false" ht="15.75" hidden="false" customHeight="true" outlineLevel="0" collapsed="false">
      <c r="A3" s="82" t="s">
        <v>311</v>
      </c>
      <c r="B3" s="82"/>
      <c r="C3" s="82"/>
      <c r="D3" s="82" t="s">
        <v>312</v>
      </c>
      <c r="E3" s="82"/>
      <c r="F3" s="82"/>
      <c r="G3" s="82" t="s">
        <v>313</v>
      </c>
      <c r="H3" s="82"/>
      <c r="I3" s="82"/>
      <c r="J3" s="82" t="s">
        <v>314</v>
      </c>
      <c r="K3" s="82"/>
      <c r="L3" s="82"/>
      <c r="M3" s="82" t="s">
        <v>315</v>
      </c>
      <c r="N3" s="82"/>
      <c r="O3" s="82"/>
      <c r="P3" s="82" t="s">
        <v>316</v>
      </c>
      <c r="Q3" s="82"/>
      <c r="R3" s="82"/>
      <c r="S3" s="82" t="s">
        <v>317</v>
      </c>
      <c r="T3" s="82"/>
      <c r="U3" s="82"/>
      <c r="V3" s="82" t="s">
        <v>318</v>
      </c>
      <c r="W3" s="82"/>
      <c r="X3" s="82"/>
      <c r="AB3" s="81" t="n">
        <f aca="false">'Team Registry'!C3</f>
        <v>3</v>
      </c>
    </row>
    <row r="4" customFormat="false" ht="30" hidden="false" customHeight="true" outlineLevel="0" collapsed="false">
      <c r="A4" s="83" t="n">
        <f aca="true">INDIRECT("'Data Input'!V"&amp;Dashboard!AB1)</f>
        <v>0</v>
      </c>
      <c r="B4" s="83"/>
      <c r="C4" s="83"/>
      <c r="D4" s="84" t="n">
        <f aca="true">INDIRECT("'Data Input'!J"&amp;Dashboard!AB1)</f>
        <v>0</v>
      </c>
      <c r="E4" s="84"/>
      <c r="F4" s="84"/>
      <c r="G4" s="85" t="n">
        <f aca="true">INDIRECT("'Data Input'!I"&amp;Dashboard!AB1)</f>
        <v>0</v>
      </c>
      <c r="H4" s="85"/>
      <c r="I4" s="85"/>
      <c r="J4" s="86" t="n">
        <f aca="true">INDIRECT("'Data Input'!D"&amp;Dashboard!AB1)</f>
        <v>0</v>
      </c>
      <c r="K4" s="86"/>
      <c r="L4" s="86"/>
      <c r="M4" s="87" t="n">
        <f aca="true">INDIRECT("'Data Input'!O"&amp;Dashboard!AB1)</f>
        <v>0</v>
      </c>
      <c r="N4" s="87"/>
      <c r="O4" s="87"/>
      <c r="P4" s="88" t="n">
        <f aca="true">INDIRECT("'Data Input'!M"&amp;Dashboard!AB1)</f>
        <v>0</v>
      </c>
      <c r="Q4" s="88"/>
      <c r="R4" s="88"/>
      <c r="S4" s="86" t="n">
        <f aca="true">INDIRECT("'Data Input'!S"&amp;Dashboard!AB1)</f>
        <v>0</v>
      </c>
      <c r="T4" s="86"/>
      <c r="U4" s="86"/>
      <c r="V4" s="88" t="n">
        <f aca="true">INDIRECT("'Data Input'!R"&amp;Dashboard!AB1)</f>
        <v>0</v>
      </c>
      <c r="W4" s="88"/>
      <c r="X4" s="88"/>
      <c r="AB4" s="81" t="n">
        <f aca="false">'Team Registry'!D3</f>
        <v>7</v>
      </c>
    </row>
    <row r="5" customFormat="false" ht="18" hidden="false" customHeight="true" outlineLevel="0" collapsed="false">
      <c r="A5" s="89" t="str">
        <f aca="true">IFERROR((INDIRECT("'Data Input'!V"&amp;Dashboard!AB1)-INDIRECT("'Data Input'!V"&amp;Dashboard!AB2))/INDIRECT("'Data Input'!V"&amp;Dashboard!AB2)*100,"")</f>
        <v/>
      </c>
      <c r="B5" s="89"/>
      <c r="C5" s="89"/>
      <c r="D5" s="89" t="str">
        <f aca="true">IFERROR((INDIRECT("'Data Input'!J"&amp;Dashboard!AB1)-INDIRECT("'Data Input'!J"&amp;Dashboard!AB2))/INDIRECT("'Data Input'!J"&amp;Dashboard!AB2)*100,"")</f>
        <v/>
      </c>
      <c r="E5" s="89"/>
      <c r="F5" s="89"/>
      <c r="G5" s="89" t="str">
        <f aca="true">IFERROR((INDIRECT("'Data Input'!I"&amp;Dashboard!AB1)-INDIRECT("'Data Input'!I"&amp;Dashboard!AB2))/INDIRECT("'Data Input'!I"&amp;Dashboard!AB2)*100,"")</f>
        <v/>
      </c>
      <c r="H5" s="89"/>
      <c r="I5" s="89"/>
      <c r="J5" s="89" t="str">
        <f aca="true">IFERROR((INDIRECT("'Data Input'!D"&amp;Dashboard!AB1)-INDIRECT("'Data Input'!D"&amp;Dashboard!AB2))/INDIRECT("'Data Input'!D"&amp;Dashboard!AB2)*100,"")</f>
        <v/>
      </c>
      <c r="K5" s="89"/>
      <c r="L5" s="89"/>
      <c r="M5" s="89" t="str">
        <f aca="true">IFERROR((INDIRECT("'Data Input'!O"&amp;Dashboard!AB1)-INDIRECT("'Data Input'!O"&amp;Dashboard!AB2))/INDIRECT("'Data Input'!O"&amp;Dashboard!AB2)*100,"")</f>
        <v/>
      </c>
      <c r="N5" s="89"/>
      <c r="O5" s="89"/>
      <c r="P5" s="89" t="str">
        <f aca="true">IFERROR((INDIRECT("'Data Input'!M"&amp;Dashboard!AB2)-INDIRECT("'Data Input'!M"&amp;Dashboard!AB1))/INDIRECT("'Data Input'!M"&amp;Dashboard!AB2)*100,"")</f>
        <v/>
      </c>
      <c r="Q5" s="89"/>
      <c r="R5" s="89"/>
      <c r="S5" s="89" t="str">
        <f aca="true">IFERROR((INDIRECT("'Data Input'!S"&amp;Dashboard!AB2)-INDIRECT("'Data Input'!S"&amp;Dashboard!AB1))/INDIRECT("'Data Input'!S"&amp;Dashboard!AB2)*100,"")</f>
        <v/>
      </c>
      <c r="T5" s="89"/>
      <c r="U5" s="89"/>
      <c r="V5" s="89" t="str">
        <f aca="true">IFERROR((INDIRECT("'Data Input'!R"&amp;Dashboard!AB2)-INDIRECT("'Data Input'!R"&amp;Dashboard!AB1))/INDIRECT("'Data Input'!R"&amp;Dashboard!AB2)*100,"")</f>
        <v/>
      </c>
      <c r="W5" s="89"/>
      <c r="X5" s="89"/>
    </row>
    <row r="6" customFormat="false" ht="15.75" hidden="false" customHeight="true" outlineLevel="0" collapsed="false">
      <c r="A6" s="90" t="s">
        <v>319</v>
      </c>
      <c r="B6" s="90"/>
      <c r="C6" s="90"/>
      <c r="D6" s="90"/>
      <c r="E6" s="90"/>
      <c r="F6" s="90"/>
      <c r="G6" s="90"/>
      <c r="H6" s="90"/>
      <c r="I6" s="90"/>
      <c r="J6" s="90"/>
      <c r="K6" s="90"/>
      <c r="L6" s="90"/>
      <c r="M6" s="90"/>
      <c r="N6" s="90"/>
      <c r="O6" s="90"/>
      <c r="P6" s="90"/>
      <c r="Q6" s="90"/>
      <c r="R6" s="90"/>
      <c r="S6" s="90"/>
      <c r="T6" s="90"/>
      <c r="U6" s="90"/>
      <c r="V6" s="90"/>
      <c r="W6" s="90"/>
      <c r="X6" s="90"/>
    </row>
    <row r="7" customFormat="false" ht="27.75" hidden="false" customHeight="true" outlineLevel="0" collapsed="false">
      <c r="A7" s="91" t="s">
        <v>320</v>
      </c>
      <c r="B7" s="91"/>
      <c r="C7" s="91"/>
      <c r="D7" s="91"/>
      <c r="E7" s="91"/>
      <c r="F7" s="91"/>
      <c r="G7" s="91" t="s">
        <v>321</v>
      </c>
      <c r="H7" s="91"/>
      <c r="I7" s="91"/>
      <c r="J7" s="91"/>
      <c r="K7" s="91"/>
      <c r="L7" s="91"/>
      <c r="M7" s="91" t="s">
        <v>322</v>
      </c>
      <c r="N7" s="91"/>
      <c r="O7" s="91"/>
      <c r="P7" s="91"/>
      <c r="Q7" s="91"/>
      <c r="R7" s="91"/>
      <c r="S7" s="91" t="s">
        <v>323</v>
      </c>
      <c r="T7" s="91"/>
      <c r="U7" s="91"/>
      <c r="V7" s="91"/>
      <c r="W7" s="91"/>
      <c r="X7" s="91"/>
    </row>
    <row r="8" customFormat="false" ht="18" hidden="false" customHeight="true" outlineLevel="0" collapsed="false">
      <c r="A8" s="92" t="n">
        <f aca="true">IFERROR(INDIRECT("'Data Input'!K"&amp;Dashboard!AB1)/Dashboard!AB3,"")</f>
        <v>0</v>
      </c>
      <c r="B8" s="92"/>
      <c r="C8" s="92"/>
      <c r="D8" s="92"/>
      <c r="E8" s="92"/>
      <c r="F8" s="92"/>
      <c r="G8" s="93" t="n">
        <f aca="true">IFERROR(INDIRECT("'Data Input'!L"&amp;Dashboard!AB1)/Dashboard!AB4,"")</f>
        <v>0</v>
      </c>
      <c r="H8" s="93"/>
      <c r="I8" s="93"/>
      <c r="J8" s="93"/>
      <c r="K8" s="93"/>
      <c r="L8" s="93"/>
      <c r="M8" s="94" t="str">
        <f aca="true">IFERROR((INDIRECT("'Data Input'!K"&amp;Dashboard!AB1)/Dashboard!AB3-INDIRECT("'Data Input'!L"&amp;Dashboard!AB1)/Dashboard!AB4)/(INDIRECT("'Data Input'!L"&amp;Dashboard!AB1)/Dashboard!AB4)*100,"")</f>
        <v/>
      </c>
      <c r="N8" s="94"/>
      <c r="O8" s="94"/>
      <c r="P8" s="94"/>
      <c r="Q8" s="94"/>
      <c r="R8" s="94"/>
      <c r="S8" s="95" t="str">
        <f aca="false">IFERROR(TEXT(Dashboard!AB3,"0")&amp;" of "&amp;TEXT('Team Registry'!B3,"0")&amp;" devs","")</f>
        <v>3 of 10 devs</v>
      </c>
      <c r="T8" s="95"/>
      <c r="U8" s="95"/>
      <c r="V8" s="95"/>
      <c r="W8" s="95"/>
      <c r="X8" s="95"/>
    </row>
  </sheetData>
  <mergeCells count="35">
    <mergeCell ref="A1:Z1"/>
    <mergeCell ref="A2:Z2"/>
    <mergeCell ref="A3:C3"/>
    <mergeCell ref="D3:F3"/>
    <mergeCell ref="G3:I3"/>
    <mergeCell ref="J3:L3"/>
    <mergeCell ref="M3:O3"/>
    <mergeCell ref="P3:R3"/>
    <mergeCell ref="S3:U3"/>
    <mergeCell ref="V3:X3"/>
    <mergeCell ref="A4:C4"/>
    <mergeCell ref="D4:F4"/>
    <mergeCell ref="G4:I4"/>
    <mergeCell ref="J4:L4"/>
    <mergeCell ref="M4:O4"/>
    <mergeCell ref="P4:R4"/>
    <mergeCell ref="S4:U4"/>
    <mergeCell ref="V4:X4"/>
    <mergeCell ref="A5:C5"/>
    <mergeCell ref="D5:F5"/>
    <mergeCell ref="G5:I5"/>
    <mergeCell ref="J5:L5"/>
    <mergeCell ref="M5:O5"/>
    <mergeCell ref="P5:R5"/>
    <mergeCell ref="S5:U5"/>
    <mergeCell ref="V5:X5"/>
    <mergeCell ref="A6:X6"/>
    <mergeCell ref="A7:F7"/>
    <mergeCell ref="G7:L7"/>
    <mergeCell ref="M7:R7"/>
    <mergeCell ref="S7:X7"/>
    <mergeCell ref="A8:F8"/>
    <mergeCell ref="G8:L8"/>
    <mergeCell ref="M8:R8"/>
    <mergeCell ref="S8:X8"/>
  </mergeCells>
  <conditionalFormatting sqref="A5:X5">
    <cfRule type="cellIs" priority="2" operator="greaterThan" aboveAverage="0" equalAverage="0" bottom="0" percent="0" rank="0" text="" dxfId="0">
      <formula>0</formula>
    </cfRule>
    <cfRule type="cellIs" priority="3" operator="lessThan" aboveAverage="0" equalAverage="0" bottom="0" percent="0" rank="0" text="" dxfId="1">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2026-04-22T01:16:33Z</dcterms:created>
  <dc:creator>openpyxl</dc:creator>
  <dc:description/>
  <dc:language>en-US</dc:language>
  <cp:lastModifiedBy/>
  <dcterms:modified xsi:type="dcterms:W3CDTF">2026-04-22T01:16:43Z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